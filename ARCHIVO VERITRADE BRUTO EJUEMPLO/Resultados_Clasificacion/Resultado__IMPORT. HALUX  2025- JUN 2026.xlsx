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rpleg-my.sharepoint.com/personal/alvaro_zegarra_legrand_com/Documents/PROYECTO_PM/V2_veritrade_clasificador_ups/ARCHIVO VERITRADE BRUTO EJUEMPLO/Resultados_Clasificacion/"/>
    </mc:Choice>
  </mc:AlternateContent>
  <xr:revisionPtr revIDLastSave="9" documentId="13_ncr:20001_{0D6B0BDD-C211-498D-92BF-E78CE747CF9D}" xr6:coauthVersionLast="47" xr6:coauthVersionMax="47" xr10:uidLastSave="{37794A17-65F2-44F1-972F-0A610B3041C7}"/>
  <bookViews>
    <workbookView xWindow="-28920" yWindow="1710" windowWidth="29040" windowHeight="15720" activeTab="1" xr2:uid="{00000000-000D-0000-FFFF-FFFF00000000}"/>
  </bookViews>
  <sheets>
    <sheet name="Resumen" sheetId="1" r:id="rId1"/>
    <sheet name="Analisis" sheetId="3" r:id="rId2"/>
    <sheet name="Clasificacion" sheetId="2" r:id="rId3"/>
  </sheets>
  <definedNames>
    <definedName name="_xlnm._FilterDatabase" localSheetId="2" hidden="1">Clasificacion!$A$1:$BO$59</definedName>
    <definedName name="_xlnm._FilterDatabase" localSheetId="0" hidden="1">Resumen!$A$1:$B$15</definedName>
    <definedName name="_xlcn.WorksheetConnection_ClasificacionA1BO59" hidden="1">Clasificacion!$A$1:$BO$59</definedName>
    <definedName name="Slicer_AÑO">#N/A</definedName>
    <definedName name="Slicer_MES">#N/A</definedName>
  </definedNames>
  <calcPr calcId="191029"/>
  <pivotCaches>
    <pivotCache cacheId="14" r:id="rId4"/>
  </pivotCaches>
  <extLst>
    <ext xmlns:x14="http://schemas.microsoft.com/office/spreadsheetml/2009/9/main" uri="{876F7934-8845-4945-9796-88D515C7AA90}">
      <x14:pivotCaches>
        <pivotCache cacheId="4" r:id="rId5"/>
      </x14:pivotCaches>
    </ex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lasificacion!$A$1:$BO$5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3" l="1"/>
  <c r="E7" i="3"/>
  <c r="E8" i="3"/>
  <c r="E5" i="3"/>
  <c r="E4" i="3"/>
  <c r="E9"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12F954-4432-4F70-BF92-5A12158FFB8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A546472-A0E4-4B16-9C44-31BFB88E9832}" name="WorksheetConnection_Clasificacion!$A$1:$BO$59" type="102" refreshedVersion="8" minRefreshableVersion="5">
    <extLst>
      <ext xmlns:x15="http://schemas.microsoft.com/office/spreadsheetml/2010/11/main" uri="{DE250136-89BD-433C-8126-D09CA5730AF9}">
        <x15:connection id="Range" autoDelete="1">
          <x15:rangePr sourceName="_xlcn.WorksheetConnection_ClasificacionA1BO59"/>
        </x15:connection>
      </ext>
    </extLst>
  </connection>
</connections>
</file>

<file path=xl/sharedStrings.xml><?xml version="1.0" encoding="utf-8"?>
<sst xmlns="http://schemas.openxmlformats.org/spreadsheetml/2006/main" count="1970" uniqueCount="366">
  <si>
    <t>Parametro</t>
  </si>
  <si>
    <t>Valor</t>
  </si>
  <si>
    <t>Fecha de proceso</t>
  </si>
  <si>
    <t>2026-09-09 21:38</t>
  </si>
  <si>
    <t>Archivo origen</t>
  </si>
  <si>
    <t>IMPORT. HALUX BRUTO 2025- JUN 2026.xlsx</t>
  </si>
  <si>
    <t>Hoja procesada</t>
  </si>
  <si>
    <t>Veritrade</t>
  </si>
  <si>
    <t>Línea de producto</t>
  </si>
  <si>
    <t>Motor de clasificación</t>
  </si>
  <si>
    <t>Reglas deterministas (sin IA)</t>
  </si>
  <si>
    <t>Total de filas</t>
  </si>
  <si>
    <t>58</t>
  </si>
  <si>
    <t>Con producto identificado</t>
  </si>
  <si>
    <t>58 (100.0%)</t>
  </si>
  <si>
    <t>Sin producto identificado</t>
  </si>
  <si>
    <t>0</t>
  </si>
  <si>
    <t>Sin marca (genérica)</t>
  </si>
  <si>
    <t>Pendientes de revisión</t>
  </si>
  <si>
    <t>Rescatados por IA</t>
  </si>
  <si>
    <t>Resueltos desde caché IA (ahorro)</t>
  </si>
  <si>
    <t>Nuevas reglas aprendidas</t>
  </si>
  <si>
    <t>+0</t>
  </si>
  <si>
    <t>Errores de IA</t>
  </si>
  <si>
    <t>Partida Aduanera</t>
  </si>
  <si>
    <t>Descripcion de la Partida Aduanera</t>
  </si>
  <si>
    <t>Aduana</t>
  </si>
  <si>
    <t>DUA / DAM</t>
  </si>
  <si>
    <t>Fecha</t>
  </si>
  <si>
    <t>ETA</t>
  </si>
  <si>
    <t>Manifiesto Nr.</t>
  </si>
  <si>
    <t>Cod. Tributario</t>
  </si>
  <si>
    <t>Importador</t>
  </si>
  <si>
    <t>Embarcador / Exportador</t>
  </si>
  <si>
    <t>Kg Bruto</t>
  </si>
  <si>
    <t>Kg Neto</t>
  </si>
  <si>
    <t>Qty 1</t>
  </si>
  <si>
    <t>Und 1</t>
  </si>
  <si>
    <t>Qty 2</t>
  </si>
  <si>
    <t>Und 2</t>
  </si>
  <si>
    <t>U$ FOB Tot</t>
  </si>
  <si>
    <t>U$ Flete Tot</t>
  </si>
  <si>
    <t>U$ CFR Tot</t>
  </si>
  <si>
    <t>U$ Seguro Tot</t>
  </si>
  <si>
    <t>U$ CIF Tot</t>
  </si>
  <si>
    <t>U$ FOB Und 1</t>
  </si>
  <si>
    <t>U$ CFR Und 1</t>
  </si>
  <si>
    <t>U$ CIF Und 1</t>
  </si>
  <si>
    <t>U$ (CIF + Imp) Und 1</t>
  </si>
  <si>
    <t>U$ FOB Und 2</t>
  </si>
  <si>
    <t>U$ CFR Und 2</t>
  </si>
  <si>
    <t>U$ CIF Und 2</t>
  </si>
  <si>
    <t>U$ (CIF + Imp) Und 2</t>
  </si>
  <si>
    <t>Pais de Origen</t>
  </si>
  <si>
    <t>Pais de Compra</t>
  </si>
  <si>
    <t>Puerto de Embarque</t>
  </si>
  <si>
    <t>Via</t>
  </si>
  <si>
    <t>Agencia de transporte</t>
  </si>
  <si>
    <t>Agente de Aduana</t>
  </si>
  <si>
    <t>Banco</t>
  </si>
  <si>
    <t>Almacen</t>
  </si>
  <si>
    <t>Estado</t>
  </si>
  <si>
    <t>Descripcion Comercial</t>
  </si>
  <si>
    <t>Ad Valorem</t>
  </si>
  <si>
    <t>IGV</t>
  </si>
  <si>
    <t>ISC</t>
  </si>
  <si>
    <t>IPM</t>
  </si>
  <si>
    <t>Derechos Espec.</t>
  </si>
  <si>
    <t>Sobretasa</t>
  </si>
  <si>
    <t>AntiDumping</t>
  </si>
  <si>
    <t>Fecha Embarque</t>
  </si>
  <si>
    <t>Descripcion1</t>
  </si>
  <si>
    <t>Descripcion2</t>
  </si>
  <si>
    <t>Descripcion3</t>
  </si>
  <si>
    <t>Descripcion4</t>
  </si>
  <si>
    <t>Descripcion5</t>
  </si>
  <si>
    <t>Naviera</t>
  </si>
  <si>
    <t>Agente Carga(Origen)</t>
  </si>
  <si>
    <t>Agente Carga(Destino)</t>
  </si>
  <si>
    <t>Canal</t>
  </si>
  <si>
    <t>Factor_Estadistico</t>
  </si>
  <si>
    <t>Marca_Extraida</t>
  </si>
  <si>
    <t>Modelo_Serie</t>
  </si>
  <si>
    <t>Color</t>
  </si>
  <si>
    <t>Material</t>
  </si>
  <si>
    <t>Modulos</t>
  </si>
  <si>
    <t>Tipo_Producto</t>
  </si>
  <si>
    <t>Uso_Aplicacion</t>
  </si>
  <si>
    <t>AÑO</t>
  </si>
  <si>
    <t>MES</t>
  </si>
  <si>
    <t>HALF</t>
  </si>
  <si>
    <t>DEMAS MANUFACT. DE PLASTICO Y MANUFACTURAS DE LAS DEMAS MAT. DE PA 39.01 A 39.14</t>
  </si>
  <si>
    <t>MARITIMA DEL CALLAO</t>
  </si>
  <si>
    <t>012228 | 32</t>
  </si>
  <si>
    <t>118-2025-3329</t>
  </si>
  <si>
    <t>FERRECITY S.A.C.</t>
  </si>
  <si>
    <t>U</t>
  </si>
  <si>
    <t>CHINA</t>
  </si>
  <si>
    <t>PANAMÁ</t>
  </si>
  <si>
    <t>NINGBO</t>
  </si>
  <si>
    <t>MARÍTIMO</t>
  </si>
  <si>
    <t>MAERSK LINE PERU S.A.C.</t>
  </si>
  <si>
    <t xml:space="preserve">DESPACHOS Y SERVICIOS ADUANEROS S.A.C.                  </t>
  </si>
  <si>
    <t>BANCO DE CREDITO DEL PERU</t>
  </si>
  <si>
    <t>DINET S.A.</t>
  </si>
  <si>
    <t>NUEVO</t>
  </si>
  <si>
    <t>TAPA CIEGA + BASTIDOR SERIE EBANZ HALUX, HALUX, EBANZ COLOR:BLANCO TAPA TEMPORAL PARA INTERRUPTOR O TOMA TAPA CIEGA + BASTIDOR SERIE EBANZ HALUX TEMOPLASTICO</t>
  </si>
  <si>
    <t>TAPA CIEGA + BASTIDOR SERIE EBANZ HALUX, HALUX, EBANZ</t>
  </si>
  <si>
    <t>COLOR:BLANCO</t>
  </si>
  <si>
    <t>TAPA TEMPORAL PARA INTERRUPTOR O TOMA</t>
  </si>
  <si>
    <t>TAPA CIEGA + BASTIDOR SERIE EBANZ HALUX</t>
  </si>
  <si>
    <t>TEMOPLASTICO</t>
  </si>
  <si>
    <t>MAERSK LINES. INC.</t>
  </si>
  <si>
    <t>NO DISPONIBLE</t>
  </si>
  <si>
    <t>_x0000_</t>
  </si>
  <si>
    <t>VERDE</t>
  </si>
  <si>
    <t>HALUX</t>
  </si>
  <si>
    <t>EBANZ</t>
  </si>
  <si>
    <t>Blanco</t>
  </si>
  <si>
    <t>01</t>
  </si>
  <si>
    <t>H1</t>
  </si>
  <si>
    <t>012228 | 44</t>
  </si>
  <si>
    <t>TAPA CIEGA + BASTIDOR SERIE EBANZ HALUX, HALUX, EBANZ COLOR:NEGRO TAPA TEMPORAL PARA INTERRUPTOR O TOMA TAPA CIEGA + BASTIDOR SERIE EBANZ HALUX TEMOPLASTICO</t>
  </si>
  <si>
    <t>COLOR:NEGRO</t>
  </si>
  <si>
    <t>Negro</t>
  </si>
  <si>
    <t>012228 | 7</t>
  </si>
  <si>
    <t>PLACA CIEGA + BASTIDOR SERIE CLIO HALUX, HALUX, CLIO COLOR:BLANCO TAPA TEMPORAL PARA INTERRUPTOR O TOMA PLACA CIEGA + BASTIDOR SERIE CLIO HALUX TERMOPLASTICO</t>
  </si>
  <si>
    <t>PLACA CIEGA + BASTIDOR SERIE CLIO HALUX, HALUX, CLIO</t>
  </si>
  <si>
    <t>PLACA CIEGA + BASTIDOR SERIE CLIO HALUX</t>
  </si>
  <si>
    <t>TERMOPLASTICO</t>
  </si>
  <si>
    <t>Placa</t>
  </si>
  <si>
    <t>DEMAS INTERRUPTORES,SECCIONAD. Y COMMUTADOR. PÏTENSION &lt;= 260 V E INTENSIDAD &lt;= 30 A</t>
  </si>
  <si>
    <t>012228 | 8</t>
  </si>
  <si>
    <t>PULSADOR TIMBRE 10A - 220V SERIE CLIO HALUX, HALUX, CLIO COLOR:BLANCO ACTIVAR EL TIMBRE PULSADOR TIMBRE 10A - 220V SERIE CLIO HALUX TERMOPLASTICO</t>
  </si>
  <si>
    <t>PULSADOR TIMBRE 10A - 220V SERIE CLIO HALUX, HALUX, CLIO</t>
  </si>
  <si>
    <t>ACTIVAR EL TIMBRE</t>
  </si>
  <si>
    <t>PULSADOR TIMBRE 10A - 220V SERIE CLIO HALUX</t>
  </si>
  <si>
    <t>Timbre / Zumbador</t>
  </si>
  <si>
    <t>012228 | 49</t>
  </si>
  <si>
    <t>ZUMBADOR SERIE EBANZ HALUX, HALUX, EBANZ COLOR:NEGRO EMITIR SONIDO SIMILAR AL TIMBRE ZUMBADOR SERIE EBANZ HALUX TEMOPLASTICO</t>
  </si>
  <si>
    <t>ZUMBADOR SERIE EBANZ HALUX, HALUX, EBANZ</t>
  </si>
  <si>
    <t>EMITIR SONIDO SIMILAR AL TIMBRE</t>
  </si>
  <si>
    <t>ZUMBADOR SERIE EBANZ HALUX</t>
  </si>
  <si>
    <t>012228 | 1</t>
  </si>
  <si>
    <t>INTERRUPTOR  SENCILLO 10A - 220V SERIE CLIO HALUX, HALUX, CLIO COLOR:BLANCO INTERRUPTOR INTERRUPTOR  SENCILLO 10A - 220V SERIE CLIO HALUX TERMOPLASTICO</t>
  </si>
  <si>
    <t>INTERRUPTOR  SENCILLO 10A - 220V SERIE CLIO HALUX, HALUX, CLIO</t>
  </si>
  <si>
    <t>INTERRUPTOR</t>
  </si>
  <si>
    <t>INTERRUPTOR  SENCILLO 10A - 220V SERIE CLIO HALUX</t>
  </si>
  <si>
    <t>Interruptor Simple</t>
  </si>
  <si>
    <t>012228 | 2</t>
  </si>
  <si>
    <t>INTERRUPTOR DOBLE 10A - 220V SERIE CLIO HALUX, HALUX, CLIO COLOR:BLANCO INTERRUPTOR INTERRUPTOR DOBLE 10A - 220V SERIE CLIO HALUX TERMOPLASTICO</t>
  </si>
  <si>
    <t>INTERRUPTOR DOBLE 10A - 220V SERIE CLIO HALUX, HALUX, CLIO</t>
  </si>
  <si>
    <t>INTERRUPTOR DOBLE 10A - 220V SERIE CLIO HALUX</t>
  </si>
  <si>
    <t>Interruptor Doble</t>
  </si>
  <si>
    <t>012228 | 3</t>
  </si>
  <si>
    <t>INTERRUPTOR TRIPLE 10A - 220V SERIE CLIO HALUX, HALUX, CLIO COLOR:BLANCO INTERRUPTOR INTERRUPTOR TRIPLE 10A - 220V SERIE CLIO HALUX TERMOPLASTICO</t>
  </si>
  <si>
    <t>INTERRUPTOR TRIPLE 10A - 220V SERIE CLIO HALUX, HALUX, CLIO</t>
  </si>
  <si>
    <t>INTERRUPTOR TRIPLE 10A - 220V SERIE CLIO HALUX</t>
  </si>
  <si>
    <t>Interruptor Triple</t>
  </si>
  <si>
    <t>012228 | 4</t>
  </si>
  <si>
    <t>INTERRUPTOR CONMUTABLE 10A - 220V SERIE CLIO HALUX, HALUX, CLIO COLOR:BLANCO INTERRUPTOR INTERRUPTOR CONMUTABLE 10A - 220V SERIE CLIO HALUX TERMOPLASTICO</t>
  </si>
  <si>
    <t>INTERRUPTOR CONMUTABLE 10A - 220V SERIE CLIO HALUX, HALUX, CLIO</t>
  </si>
  <si>
    <t>INTERRUPTOR CONMUTABLE 10A - 220V SERIE CLIO HALUX</t>
  </si>
  <si>
    <t>012228 | 5</t>
  </si>
  <si>
    <t>INTERRUPTOR CONMUTABLE DOBLE 10A - 220V SERIE CLIO HALUX, HALUX, CLIO COLOR:BLANCO INTERRUPTOR INTERRUPTOR CONMUTABLE DOBLE 10A - 220V SERIE CLIO HALUX TERMOPLASTICO</t>
  </si>
  <si>
    <t>INTERRUPTOR CONMUTABLE DOBLE 10A - 220V SERIE CLIO HALUX, HALUX, CLIO</t>
  </si>
  <si>
    <t>INTERRUPTOR CONMUTABLE DOBLE 10A - 220V SERIE CLIO HALUX</t>
  </si>
  <si>
    <t>012228 | 6</t>
  </si>
  <si>
    <t>INTERRUPTOR CONMUTABLE TRIPLE 10A - 220V SERIE CLIO HALUX, HALUX, CLIO COLOR:BLANCO INTERRUPTOR INTERRUPTOR CONMUTABLE TRIPLE 10A - 220V SERIE CLIO HALUX TERMOPLASTICO</t>
  </si>
  <si>
    <t>INTERRUPTOR CONMUTABLE TRIPLE 10A - 220V SERIE CLIO HALUX, HALUX, CLIO</t>
  </si>
  <si>
    <t>INTERRUPTOR CONMUTABLE TRIPLE 10A - 220V SERIE CLIO HALUX</t>
  </si>
  <si>
    <t>012228 | 39</t>
  </si>
  <si>
    <t>INTERRUPTOR 10A - 220V + TOMA SENCILLO EUROAMERICANO 15 A - 220V SERIE EBANZ HALUX, HALUX, COLOR:NEGRO INTERRUPTOR + TOMACORRIENTE INTERRUPTOR 10A - 220V + TOMA SENCILLO EUROAMERICANO 15 A - 220V SERIE EBANZ HALUX TEMOPLASTICO</t>
  </si>
  <si>
    <t>INTERRUPTOR 10A - 220V + TOMA SENCILLO EUROAMERICANO 15 A - 220V SERIE EBANZ HALUX, HALUX,</t>
  </si>
  <si>
    <t>INTERRUPTOR + TOMACORRIENTE</t>
  </si>
  <si>
    <t>INTERRUPTOR 10A - 220V + TOMA SENCILLO EUROAMERICANO 15 A - 220V SERIE EBANZ HALUX</t>
  </si>
  <si>
    <t>012228 | 40</t>
  </si>
  <si>
    <t>INTERRUPTOR CONMUTABLE 10A - 220V SERIE EBANZ HALUX, HALUX, EBANZ COLOR:NEGRO INTERRUPTOR INTERRUPTOR CONMUTABLE 10A - 220V SERIE EBANZ HALUX TEMOPLASTICO</t>
  </si>
  <si>
    <t>INTERRUPTOR CONMUTABLE 10A - 220V SERIE EBANZ HALUX, HALUX, EBANZ</t>
  </si>
  <si>
    <t>INTERRUPTOR CONMUTABLE 10A - 220V SERIE EBANZ HALUX</t>
  </si>
  <si>
    <t>012228 | 41</t>
  </si>
  <si>
    <t>INTERRUPTOR DOBLE CONMUTABLE 10A - 220V SERIE EBANZ HALUX, HALUX, EBANZ COLOR:NEGRO INTERRUPTOR INTERRUPTOR DOBLE CONMUTABLE 10A - 220V SERIE EBANZ HALUX TEMOPLASTICO</t>
  </si>
  <si>
    <t>INTERRUPTOR DOBLE CONMUTABLE 10A - 220V SERIE EBANZ HALUX, HALUX, EBANZ</t>
  </si>
  <si>
    <t>INTERRUPTOR DOBLE CONMUTABLE 10A - 220V SERIE EBANZ HALUX</t>
  </si>
  <si>
    <t>012228 | 42</t>
  </si>
  <si>
    <t>INTERRUPTOR TRIPLE CONMUTABLE 10A - 220V SERIE EBANZ HALUX, HALUX, EBANZ COLOR:NEGRO INTERRUPTOR INTERRUPTOR TRIPLE CONMUTABLE 10A - 220V SERIE EBANZ HALUX TEMOPLASTICO</t>
  </si>
  <si>
    <t>INTERRUPTOR TRIPLE CONMUTABLE 10A - 220V SERIE EBANZ HALUX, HALUX, EBANZ</t>
  </si>
  <si>
    <t>INTERRUPTOR TRIPLE CONMUTABLE 10A - 220V SERIE EBANZ HALUX</t>
  </si>
  <si>
    <t>012228 | 43</t>
  </si>
  <si>
    <t>PULSADOR PARA TIMBRE 10A - 220V SERIE EBANZ HALUX, HALUX, EBANZ COLOR:NEGRO ACTIVAR EL TIMBRE PULSADOR PARA TIMBRE 10A - 220V SERIE EBANZ HALUX TEMOPLASTICO</t>
  </si>
  <si>
    <t>PULSADOR PARA TIMBRE 10A - 220V SERIE EBANZ HALUX, HALUX, EBANZ</t>
  </si>
  <si>
    <t>PULSADOR PARA TIMBRE 10A - 220V SERIE EBANZ HALUX</t>
  </si>
  <si>
    <t>215910 | 9</t>
  </si>
  <si>
    <t>118-2025-1156</t>
  </si>
  <si>
    <t xml:space="preserve">U  </t>
  </si>
  <si>
    <t>IAN TAYLOR AGENCIAS S.A.C.</t>
  </si>
  <si>
    <t>NEPTUNIA S.A.</t>
  </si>
  <si>
    <t>INTERRUPTOR SENCILLO CONMUTABLE 10A-220V SERIE CLIO MARFÍL, KROM, CLIO 100531 INTERRUPTORES INTERRUPTOR SENCILLO CONMUTABLE 10A-220V SERIE CLIO MARFÍL TERMOPLASTICO</t>
  </si>
  <si>
    <t>INTERRUPTOR SENCILLO CONMUTABLE 10A-220V SERIE CLIO MARFÍL, KROM, CLIO</t>
  </si>
  <si>
    <t>100531</t>
  </si>
  <si>
    <t>INTERRUPTORES</t>
  </si>
  <si>
    <t>INTERRUPTOR SENCILLO CONMUTABLE 10A-220V SERIE CLIO MARFÍL</t>
  </si>
  <si>
    <t>CHINA OCEAN STEAMSHIP LTD</t>
  </si>
  <si>
    <t>NARANJA</t>
  </si>
  <si>
    <t>KROM</t>
  </si>
  <si>
    <t>Marfil</t>
  </si>
  <si>
    <t>05</t>
  </si>
  <si>
    <t>012228 | 29</t>
  </si>
  <si>
    <t>INTERRUPTOR DOBLE CONMUTABLE 10A - 220V SERIE EBANZ HALUX, HALUX, EBANZ COLOR:BLANCO INTERRUPTOR INTERRUPTOR DOBLE CONMUTABLE 10A - 220V SERIE EBANZ HALUX TEMOPLASTICO</t>
  </si>
  <si>
    <t>012228 | 30</t>
  </si>
  <si>
    <t>INTERRUPTOR TRIPLE CONMUTABLE 10A - 220V SERIE EBANZ HALUX, HALUX, EBANZ COLOR:BLANCO INTERRUPTOR INTERRUPTOR TRIPLE CONMUTABLE 10A - 220V SERIE EBANZ HALUX TEMOPLASTICO</t>
  </si>
  <si>
    <t>012228 | 31</t>
  </si>
  <si>
    <t>PULSADOR PARA TIMBRE 10A - 220V SERIE EBANZ HALUX, HALUX, EBANZ COLOR:BLANCO ACTIVAR EL TIMBRE PULSADOR PARA TIMBRE 10A - 220V SERIE EBANZ HALUX TEMOPLASTICO</t>
  </si>
  <si>
    <t>215910 | 1</t>
  </si>
  <si>
    <t>INTERRUPTOR SENCILLO 10A-220V SERIE CLIO BLANCO, KROM, CLIO 99231 INTERRUPTORES INTERRUPTOR SENCILLO 10A-220V SERIE CLIO BLANCO TERMOPLASTICO</t>
  </si>
  <si>
    <t>INTERRUPTOR SENCILLO 10A-220V SERIE CLIO BLANCO, KROM, CLIO</t>
  </si>
  <si>
    <t>99231</t>
  </si>
  <si>
    <t>INTERRUPTOR SENCILLO 10A-220V SERIE CLIO BLANCO</t>
  </si>
  <si>
    <t>215910 | 2</t>
  </si>
  <si>
    <t>INTERRUPTOR TRIPLE 10A-220V SERIE CLIO BLANCO, KROM, CLIO 99233 INTERRUPTORES INTERRUPTOR TRIPLE 10A-220V SERIE CLIO BLANCO TERMOPLASTICO</t>
  </si>
  <si>
    <t>INTERRUPTOR TRIPLE 10A-220V SERIE CLIO BLANCO, KROM, CLIO</t>
  </si>
  <si>
    <t>99233</t>
  </si>
  <si>
    <t>INTERRUPTOR TRIPLE 10A-220V SERIE CLIO BLANCO</t>
  </si>
  <si>
    <t>215910 | 3</t>
  </si>
  <si>
    <t>INTERRUPTOR SENCILLO CONMUTABLE 10A-220V SERIE CLIO BLANCO, KROM, CLIO 99531 INTERRUPTORES INTERRUPTOR SENCILLO CONMUTABLE 10A-220V SERIE CLIO BLANCO TERMOPLASTICO</t>
  </si>
  <si>
    <t>INTERRUPTOR SENCILLO CONMUTABLE 10A-220V SERIE CLIO BLANCO, KROM, CLIO</t>
  </si>
  <si>
    <t>99531</t>
  </si>
  <si>
    <t>INTERRUPTOR SENCILLO CONMUTABLE 10A-220V SERIE CLIO BLANCO</t>
  </si>
  <si>
    <t>012228 | 11</t>
  </si>
  <si>
    <t>INTERRUPTOR 10A - 220V + TOMACORRIENTE EUROAMERICANO 15 A - 220V SERIE CLIO HALUX, HALUX, COLOR:BLANCO INTERRUPTOR + TOMACORRIENTE INTERRUPTOR 10A - 220V + TOMACORRIENTE EUROAMERICANO 15 A - 220V SERIE CLIO HALUX TERMOPLASTICO</t>
  </si>
  <si>
    <t>INTERRUPTOR 10A - 220V + TOMACORRIENTE EUROAMERICANO 15 A - 220V SERIE CLIO HALUX, HALUX,</t>
  </si>
  <si>
    <t>INTERRUPTOR 10A - 220V + TOMACORRIENTE EUROAMERICANO 15 A - 220V SERIE CLIO HALUX</t>
  </si>
  <si>
    <t>012228 | 17</t>
  </si>
  <si>
    <t>INTERRUPTOR  SENCILLO 10A - 220V SERIE CLIO HALUX, HALUX, CLIO COLOR:MARFIL INTERRUPTOR INTERRUPTOR  SENCILLO 10A - 220V SERIE CLIO HALUX TERMOPLASTICO</t>
  </si>
  <si>
    <t>COLOR:MARFIL</t>
  </si>
  <si>
    <t>012228 | 18</t>
  </si>
  <si>
    <t>INTERRUPTOR DOBLE 10A - 220V SERIE CLIO HALUX, HALUX, CLIO COLOR:MARFIL INTERRUPTOR INTERRUPTOR DOBLE 10A - 220V SERIE CLIO HALUX TERMOPLASTICO</t>
  </si>
  <si>
    <t>012228 | 19</t>
  </si>
  <si>
    <t>INTERRUPTOR TRIPLE 10A - 220V SERIE CLIO HALUX, HALUX, CLIO COLOR:MARFIL INTERRUPTOR INTERRUPTOR TRIPLE 10A - 220V SERIE CLIO HALUX TERMOPLASTICO</t>
  </si>
  <si>
    <t>012228 | 37</t>
  </si>
  <si>
    <t>ZUMBADOR SERIE EBANZ HALUX, HALUX, EBANZ COLOR:BLANCO EMITIR SONIDO SIMILAR AL TIMBRE ZUMBADOR SERIE EBANZ HALUX TEMOPLASTICO</t>
  </si>
  <si>
    <t>012228 | 21</t>
  </si>
  <si>
    <t>PULSADOR TIMBRE 10A - 220V SERIE CLIO HALUX, HALUX, CLIO COLOR:MARFIL ACTIVAR EL TIMBRE PULSADOR TIMBRE 10A - 220V SERIE CLIO HALUX TERMOPLASTICO</t>
  </si>
  <si>
    <t>012228 | 24</t>
  </si>
  <si>
    <t>INTERRUPTOR 10A - 220V + TOMA SENCILLO EUROAMERICANO 15 A - 220V SERIE EBANZ HALUX, HALUX, COLOR:BLANCO INTERRUPTOR + TOMACORRIENTE INTERRUPTOR 10A - 220V + TOMA SENCILLO EUROAMERICANO 15 A - 220V SERIE EBANZ HALUX TEMOPLASTICO</t>
  </si>
  <si>
    <t>012228 | 25</t>
  </si>
  <si>
    <t>INTERRUPTOR SENCILLO 10A - 220V SERIE EBANZ HALUX, HALUX, EBANZ COLOR:BLANCO INTERRUPTOR INTERRUPTOR SENCILLO 10A - 220V SERIE EBANZ HALUX TEMOPLASTICO</t>
  </si>
  <si>
    <t>INTERRUPTOR SENCILLO 10A - 220V SERIE EBANZ HALUX, HALUX, EBANZ</t>
  </si>
  <si>
    <t>INTERRUPTOR SENCILLO 10A - 220V SERIE EBANZ HALUX</t>
  </si>
  <si>
    <t>012228 | 26</t>
  </si>
  <si>
    <t>INTERRUPTOR DOBLE 10A - 220V SERIE EBANZ HALUX, HALUX, EBANZ COLOR:BLANCO INTERRUPTOR INTERRUPTOR DOBLE 10A - 220V SERIE EBANZ HALUX TEMOPLASTICO</t>
  </si>
  <si>
    <t>INTERRUPTOR DOBLE 10A - 220V SERIE EBANZ HALUX, HALUX, EBANZ</t>
  </si>
  <si>
    <t>INTERRUPTOR DOBLE 10A - 220V SERIE EBANZ HALUX</t>
  </si>
  <si>
    <t>012228 | 27</t>
  </si>
  <si>
    <t>INTERRUPTOR TRIPLE 10A - 220V SERIE EBANZ HALUX, HALUX, EBANZ COLOR:BLANCO INTERRUPTOR INTERRUPTOR TRIPLE 10A - 220V SERIE EBANZ HALUX TEMOPLASTICO</t>
  </si>
  <si>
    <t>INTERRUPTOR TRIPLE 10A - 220V SERIE EBANZ HALUX, HALUX, EBANZ</t>
  </si>
  <si>
    <t>INTERRUPTOR TRIPLE 10A - 220V SERIE EBANZ HALUX</t>
  </si>
  <si>
    <t>012228 | 28</t>
  </si>
  <si>
    <t>INTERRUPTOR CONMUTABLE 10A - 220V SERIE EBANZ HALUX, HALUX, EBANZ COLOR:BLANCO INTERRUPTOR INTERRUPTOR CONMUTABLE 10A - 220V SERIE EBANZ HALUX TEMOPLASTICO</t>
  </si>
  <si>
    <t>LOS DEMAS INTERRUPTORES, SECCIONADORES Y COMMUTADORES</t>
  </si>
  <si>
    <t>012228 | 38</t>
  </si>
  <si>
    <t>DIMMER LED 60W SERIE EBANZ HALUX, HALUX, EBANZ COLOR:NEGRO VARIADOR DE LUMINOSIDAD DIMMER LED 60W SERIE EBANZ HALUX TEMOPLASTICO</t>
  </si>
  <si>
    <t>DIMMER LED 60W SERIE EBANZ HALUX, HALUX, EBANZ</t>
  </si>
  <si>
    <t>VARIADOR DE LUMINOSIDAD</t>
  </si>
  <si>
    <t>DIMMER LED 60W SERIE EBANZ HALUX</t>
  </si>
  <si>
    <t>Dimmer</t>
  </si>
  <si>
    <t>012228 | 23</t>
  </si>
  <si>
    <t>DIMMER LED 60W SERIE EBANZ HALUX, HALUX, EBANZ COLOR:BLANCO VARIADOR DE LUMINOSIDAD DIMMER LED 60W SERIE EBANZ HALUX TEMOPLASTICO</t>
  </si>
  <si>
    <t>CLAVIJAS Y TOMAS CORRIENTES, P` TENSION &lt;= A 1,000 VOLTIOS</t>
  </si>
  <si>
    <t>012228 | 16</t>
  </si>
  <si>
    <t>TOMACORRIENTE SENCILLO EUROAMERICANO 15A - 220V SERIE CLIO HALUX, HALUX, CLIO COLOR:MARFIL TOMACORRIENTE TOMACORRIENTE SENCILLO EUROAMERICANO 15A - 220V SERIE CLIO HALUX TERMOPLASTICO</t>
  </si>
  <si>
    <t>TOMACORRIENTE SENCILLO EUROAMERICANO 15A - 220V SERIE CLIO HALUX, HALUX, CLIO</t>
  </si>
  <si>
    <t>TOMACORRIENTE</t>
  </si>
  <si>
    <t>TOMACORRIENTE SENCILLO EUROAMERICANO 15A - 220V SERIE CLIO HALUX</t>
  </si>
  <si>
    <t>Tomacorriente Sencillo</t>
  </si>
  <si>
    <t>012228 | 22</t>
  </si>
  <si>
    <t>TOMACORRIENTE EUROAMERICANO 15A - 220V + 2 USB (A+A) SERIE CLIO HALUX, HALUX, CLIO COLOR:MARFIL TOMACORRIENTE TOMACORRIENTE EUROAMERICANO 15A - 220V + 2 USB (A+A) SERIE CLIO HALUX TERMOPLASTICO</t>
  </si>
  <si>
    <t>TOMACORRIENTE EUROAMERICANO 15A - 220V + 2 USB (A+A) SERIE CLIO HALUX, HALUX, CLIO</t>
  </si>
  <si>
    <t>TOMACORRIENTE EUROAMERICANO 15A - 220V + 2 USB (A+A) SERIE CLIO HALUX</t>
  </si>
  <si>
    <t>012228 | 20</t>
  </si>
  <si>
    <t>TOMACORRIENTE DOBLE EUROAMERICANO 15A - 220V SERIE CLIO HALUX, HALUX, CLIO COLOR:MARFIL TOMACORRIENTE TOMACORRIENTE DOBLE EUROAMERICANO 15A - 220V SERIE CLIO HALUX TERMOPLASTICO</t>
  </si>
  <si>
    <t>TOMACORRIENTE DOBLE EUROAMERICANO 15A - 220V SERIE CLIO HALUX, HALUX, CLIO</t>
  </si>
  <si>
    <t>TOMACORRIENTE DOBLE EUROAMERICANO 15A - 220V SERIE CLIO HALUX</t>
  </si>
  <si>
    <t>Tomacorriente Doble</t>
  </si>
  <si>
    <t>012228 | 12</t>
  </si>
  <si>
    <t>TOMA INTERNET RJ45 SERIE CLIO HALUX, HALUX, CLIO COLOR:BLANCO TOMACORRIENTE TOMA INTERNET RJ45 SERIE CLIO HALUX TERMOPLASTICO</t>
  </si>
  <si>
    <t>TOMA INTERNET RJ45 SERIE CLIO HALUX, HALUX, CLIO</t>
  </si>
  <si>
    <t>TOMA INTERNET RJ45 SERIE CLIO HALUX</t>
  </si>
  <si>
    <t>Toma TV / Teléfono / Datos</t>
  </si>
  <si>
    <t>012228 | 13</t>
  </si>
  <si>
    <t>DIMMER LED 60W SERIE CLIO HALUX, HALUX, CLIO COLOR:BLANCO VARIADOR DE LUMINOCIDAD DIMMER LED 60W SERIE CLIO HALUX TERMOPLASTICO</t>
  </si>
  <si>
    <t>DIMMER LED 60W SERIE CLIO HALUX, HALUX, CLIO</t>
  </si>
  <si>
    <t>VARIADOR DE LUMINOCIDAD</t>
  </si>
  <si>
    <t>DIMMER LED 60W SERIE CLIO HALUX</t>
  </si>
  <si>
    <t>012228 | 14</t>
  </si>
  <si>
    <t>TOMA SHUCKO, HALUX, CLIO COLOR:BLANCO TOMACORRIENTE TOMA SHUCKO TERMOPLASTICO</t>
  </si>
  <si>
    <t>TOMA SHUCKO, HALUX, CLIO</t>
  </si>
  <si>
    <t>TOMA SHUCKO</t>
  </si>
  <si>
    <t>215910 | 4</t>
  </si>
  <si>
    <t>TOMACORRIENTE SENCILLO EUROAMERICANO 15A-220V SERIE CLIO BLANCO, KROM, CLIO 99243 TOMACORRIENTES TOMACORRIENTE SENCILLO EUROAMERICANO 15A-220V SERIE CLIO BLANCO TERMOPLASTICO</t>
  </si>
  <si>
    <t>TOMACORRIENTE SENCILLO EUROAMERICANO 15A-220V SERIE CLIO BLANCO, KROM, CLIO</t>
  </si>
  <si>
    <t>99243</t>
  </si>
  <si>
    <t>TOMACORRIENTES</t>
  </si>
  <si>
    <t>TOMACORRIENTE SENCILLO EUROAMERICANO 15A-220V SERIE CLIO BLANCO</t>
  </si>
  <si>
    <t>215910 | 5</t>
  </si>
  <si>
    <t>TOMACORRIENTE DOBLE EUROAMERICANO 15A-220V SERIE CLIO BLANCO, KROM, CLIO 99343 TOMACORRIENTES TOMACORRIENTE DOBLE EUROAMERICANO 15A-220V SERIE CLIO BLANCO TERMOPLASTICO</t>
  </si>
  <si>
    <t>TOMACORRIENTE DOBLE EUROAMERICANO 15A-220V SERIE CLIO BLANCO, KROM, CLIO</t>
  </si>
  <si>
    <t>99343</t>
  </si>
  <si>
    <t>TOMACORRIENTE DOBLE EUROAMERICANO 15A-220V SERIE CLIO BLANCO</t>
  </si>
  <si>
    <t>215910 | 6</t>
  </si>
  <si>
    <t>TOMACORRIENTE EUROAMERICANO 15A-220V + TOMA DOBLE USB SERIE CLIO BLANCO, KROM, CLIO 99184 TOMACORRIENTES TOMACORRIENTE EUROAMERICANO 15A-220V + TOMA DOBLE USB SERIE CLIO BLANCO TERMOPLASTICO</t>
  </si>
  <si>
    <t>TOMACORRIENTE EUROAMERICANO 15A-220V + TOMA DOBLE USB SERIE CLIO BLANCO, KROM, CLIO</t>
  </si>
  <si>
    <t>99184</t>
  </si>
  <si>
    <t>TOMACORRIENTE EUROAMERICANO 15A-220V + TOMA DOBLE USB SERIE CLIO BLANCO</t>
  </si>
  <si>
    <t>215910 | 7</t>
  </si>
  <si>
    <t>TOMA TELÉFONO RJ11 SERIE CLIO BLANCO, KROM, CLIO 99302 TOMACORRIENTES TOMA TELÉFONO RJ11 SERIE CLIO BLANCO TERMOPLASTICO</t>
  </si>
  <si>
    <t>TOMA TELÉFONO RJ11 SERIE CLIO BLANCO, KROM, CLIO</t>
  </si>
  <si>
    <t>99302</t>
  </si>
  <si>
    <t>TOMA TELÉFONO RJ11 SERIE CLIO BLANCO</t>
  </si>
  <si>
    <t>215910 | 8</t>
  </si>
  <si>
    <t>TOMACORRIENTE EUROAMERICANO 15A-220V + TOMA DOBLE USB SERIE CLIO MARFÍL, KROM, CLIO 100184 TOMACORRIENTES TOMACORRIENTE EUROAMERICANO 15A-220V + TOMA DOBLE USB SERIE CLIO MARFÍL TERMOPLASTICO</t>
  </si>
  <si>
    <t>TOMACORRIENTE EUROAMERICANO 15A-220V + TOMA DOBLE USB SERIE CLIO MARFÍL, KROM, CLIO</t>
  </si>
  <si>
    <t>100184</t>
  </si>
  <si>
    <t>TOMACORRIENTE EUROAMERICANO 15A-220V + TOMA DOBLE USB SERIE CLIO MARFÍL</t>
  </si>
  <si>
    <t>012228 | 33</t>
  </si>
  <si>
    <t>TOMA REDES RJ45 CAT6 SERIE EBANZ HALUX, HALUX, EBANZ COLOR:BLANCO TOMACORRIENTE TOMA REDES RJ45 CAT6 SERIE EBANZ HALUX TEMOPLASTICO</t>
  </si>
  <si>
    <t>TOMA REDES RJ45 CAT6 SERIE EBANZ HALUX, HALUX, EBANZ</t>
  </si>
  <si>
    <t>TOMA REDES RJ45 CAT6 SERIE EBANZ HALUX</t>
  </si>
  <si>
    <t>012228 | 34</t>
  </si>
  <si>
    <t>TOMA TELÉFONO SERIE EBANZ HALUX, HALUX, EBANZ COLOR:BLANCO TOMACORRIENTE TOMA TELÉFONO SERIE EBANZ HALUX TEMOPLASTICO</t>
  </si>
  <si>
    <t>TOMA TELÉFONO SERIE EBANZ HALUX, HALUX, EBANZ</t>
  </si>
  <si>
    <t>TOMA TELÉFONO SERIE EBANZ HALUX</t>
  </si>
  <si>
    <t>012228 | 35</t>
  </si>
  <si>
    <t>TOMA TV COAXIAL SERIE EBANZ HALUX, HALUX, EBANZ COLOR:BLANCO TOMACORRIENTE TOMA TV COAXIAL SERIE EBANZ HALUX TEMOPLASTICO</t>
  </si>
  <si>
    <t>TOMA TV COAXIAL SERIE EBANZ HALUX, HALUX, EBANZ</t>
  </si>
  <si>
    <t>TOMA TV COAXIAL SERIE EBANZ HALUX</t>
  </si>
  <si>
    <t>012228 | 36</t>
  </si>
  <si>
    <t>TOMACORRIENTE DOBLE EUROAMERICANO 15A - 220V SERIE EBANZ HALUX, HALUX, EBANZ COLOR:BLANCO TOMACORRIENTE TOMACORRIENTE DOBLE EUROAMERICANO 15A - 220V SERIE EBANZ HALUX TEMOPLASTICO</t>
  </si>
  <si>
    <t>TOMACORRIENTE DOBLE EUROAMERICANO 15A - 220V SERIE EBANZ HALUX, HALUX, EBANZ</t>
  </si>
  <si>
    <t>TOMACORRIENTE DOBLE EUROAMERICANO 15A - 220V SERIE EBANZ HALUX</t>
  </si>
  <si>
    <t>012228 | 45</t>
  </si>
  <si>
    <t>TOMA REDES RJ45 CAT6 SERIE EBANZ HALUX, HALUX, EBANZ COLOR:NEGRO TOMACORRIENTE TOMA REDES RJ45 CAT6 SERIE EBANZ HALUX TEMOPLASTICO</t>
  </si>
  <si>
    <t>012228 | 46</t>
  </si>
  <si>
    <t>TOMA TELÉFONO SERIE EBANZ HALUX, HALUX, EBANZ COLOR:NEGRO TOMACORRIENTE TOMA TELÉFONO SERIE EBANZ HALUX TEMOPLASTICO</t>
  </si>
  <si>
    <t>012228 | 47</t>
  </si>
  <si>
    <t>TOMA TV COAXIAL SERIE EBANZ HALUX, HALUX, EBANZ COLOR:NEGRO TOMACORRIENTE TOMA TV COAXIAL SERIE EBANZ HALUX TEMOPLASTICO</t>
  </si>
  <si>
    <t>012228 | 48</t>
  </si>
  <si>
    <t>TOMACORRIENTE DOBLE EUROAMERICANO 15A - 220V SERIE EBANZ HALUX, HALUX, EBANZ COLOR:NEGRO TOMACORRIENTE TOMACORRIENTE DOBLE EUROAMERICANO 15A - 220V SERIE EBANZ HALUX TEMOPLASTICO</t>
  </si>
  <si>
    <t>012228 | 9</t>
  </si>
  <si>
    <t>TOMACORRIENTE SENCILLO EUROAMERICANO 15A - 220V SERIE CLIO HALUX, HALUX, CLIO COLOR:BLANCO TOMACORRIENTE TOMACORRIENTE SENCILLO EUROAMERICANO 15A - 220V SERIE CLIO HALUX TERMOPLASTICO</t>
  </si>
  <si>
    <t>012228 | 10</t>
  </si>
  <si>
    <t>TOMACORRIENTE DOBLE EUROAMERICANO 15A - 220V SERIE CLIO HALUX, HALUX, CLIO COLOR:BLANCO TOMACORRIENTE TOMACORRIENTE DOBLE EUROAMERICANO 15A - 220V SERIE CLIO HALUX TERMOPLASTICO</t>
  </si>
  <si>
    <t>DEMAS PART. IDENTIFIC. COMO DESTINADAS,EXCLUS.A LOS APARAT. DE PA 85.35,85.36 U 85.37</t>
  </si>
  <si>
    <t>012228 | 15</t>
  </si>
  <si>
    <t>MARCO PARA EXTERIORES, HALUX, CLIO COLOR:BLANCO ACCESORIO PARA TOMACORRIENTES E INTERRUPTORES MARCO PARA EXTERIORES TERMOPLASTICO</t>
  </si>
  <si>
    <t>MARCO PARA EXTERIORES, HALUX, CLIO</t>
  </si>
  <si>
    <t>ACCESORIO PARA TOMACORRIENTES E INTERRUPTORES</t>
  </si>
  <si>
    <t>MARCO PARA EXTERIORES</t>
  </si>
  <si>
    <t>Sum of Qty 2</t>
  </si>
  <si>
    <t>Mecanismos</t>
  </si>
  <si>
    <t>Factor Estadistico</t>
  </si>
  <si>
    <t>Total</t>
  </si>
  <si>
    <t>1</t>
  </si>
  <si>
    <t>2</t>
  </si>
  <si>
    <t>3</t>
  </si>
  <si>
    <t>(Vacio)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</si>
</sst>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yyyy\-mm\-dd\ hh:mm:ss"/>
    <numFmt numFmtId="165" formatCode="_-* #,##0_-;\-* #,##0_-;_-* &quot;-&quot;??_-;_-@_-"/>
  </numFmts>
  <fonts count="4" x14ac:knownFonts="1">
    <font>
      <sz val="11"/>
      <color theme="1"/>
      <name val="Calibri"/>
      <family val="2"/>
      <scheme val="minor"/>
    </font>
    <font>
      <b/>
      <sz val="11"/>
      <color rgb="FFFFFFFF"/>
      <name val="Calibri"/>
      <family val="2"/>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1F4E78"/>
      </patternFill>
    </fill>
    <fill>
      <patternFill patternType="solid">
        <fgColor rgb="FFFFFFFF"/>
      </patternFill>
    </fill>
    <fill>
      <patternFill patternType="solid">
        <fgColor theme="4" tint="0.79998168889431442"/>
        <bgColor theme="4" tint="0.79998168889431442"/>
      </patternFill>
    </fill>
    <fill>
      <patternFill patternType="solid">
        <fgColor rgb="FFFFFF00"/>
        <bgColor indexed="64"/>
      </patternFill>
    </fill>
  </fills>
  <borders count="3">
    <border>
      <left/>
      <right/>
      <top/>
      <bottom/>
      <diagonal/>
    </border>
    <border>
      <left style="thin">
        <color rgb="FFD9D9D9"/>
      </left>
      <right style="thin">
        <color rgb="FFD9D9D9"/>
      </right>
      <top style="thin">
        <color rgb="FFD9D9D9"/>
      </top>
      <bottom style="thin">
        <color rgb="FFD9D9D9"/>
      </bottom>
      <diagonal/>
    </border>
    <border>
      <left/>
      <right/>
      <top/>
      <bottom style="thin">
        <color theme="4" tint="0.39997558519241921"/>
      </bottom>
      <diagonal/>
    </border>
  </borders>
  <cellStyleXfs count="2">
    <xf numFmtId="0" fontId="0" fillId="0" borderId="0"/>
    <xf numFmtId="43" fontId="2" fillId="0" borderId="0" applyFont="0" applyFill="0" applyBorder="0" applyAlignment="0" applyProtection="0"/>
  </cellStyleXfs>
  <cellXfs count="10">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center"/>
    </xf>
    <xf numFmtId="164" fontId="0" fillId="3" borderId="1" xfId="0" applyNumberFormat="1" applyFill="1" applyBorder="1" applyAlignment="1">
      <alignment vertical="center"/>
    </xf>
    <xf numFmtId="0" fontId="0" fillId="0" borderId="0" xfId="0" pivotButton="1"/>
    <xf numFmtId="0" fontId="0" fillId="0" borderId="0" xfId="0" applyAlignment="1">
      <alignment horizontal="left"/>
    </xf>
    <xf numFmtId="0" fontId="3" fillId="4" borderId="2" xfId="0" applyFont="1" applyFill="1" applyBorder="1"/>
    <xf numFmtId="165" fontId="0" fillId="0" borderId="0" xfId="1" applyNumberFormat="1" applyFont="1"/>
    <xf numFmtId="165" fontId="0" fillId="0" borderId="0" xfId="0" applyNumberFormat="1"/>
    <xf numFmtId="165" fontId="3" fillId="5" borderId="0" xfId="1" applyNumberFormat="1" applyFont="1" applyFill="1"/>
  </cellXfs>
  <cellStyles count="2">
    <cellStyle name="Comma" xfId="1" builtinId="3"/>
    <cellStyle name="Normal" xfId="0" builtinId="0"/>
  </cellStyles>
  <dxfs count="4">
    <dxf>
      <numFmt numFmtId="165" formatCode="_-* #,##0_-;\-* #,##0_-;_-* &quot;-&quot;??_-;_-@_-"/>
    </dxf>
    <dxf>
      <numFmt numFmtId="165" formatCode="_-* #,##0_-;\-* #,##0_-;_-* &quot;-&quot;??_-;_-@_-"/>
    </dxf>
    <dxf>
      <numFmt numFmtId="165" formatCode="_-* #,##0_-;\-* #,##0_-;_-* &quot;-&quot;??_-;_-@_-"/>
    </dxf>
    <dxf>
      <numFmt numFmtId="165" formatCode="_-* #,##0_-;\-* #,##0_-;_-*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6</xdr:col>
      <xdr:colOff>180975</xdr:colOff>
      <xdr:row>2</xdr:row>
      <xdr:rowOff>64477</xdr:rowOff>
    </xdr:from>
    <xdr:to>
      <xdr:col>9</xdr:col>
      <xdr:colOff>173941</xdr:colOff>
      <xdr:row>7</xdr:row>
      <xdr:rowOff>98766</xdr:rowOff>
    </xdr:to>
    <mc:AlternateContent xmlns:mc="http://schemas.openxmlformats.org/markup-compatibility/2006" xmlns:a14="http://schemas.microsoft.com/office/drawing/2010/main">
      <mc:Choice Requires="a14">
        <xdr:graphicFrame macro="">
          <xdr:nvGraphicFramePr>
            <xdr:cNvPr id="2" name="AÑO">
              <a:extLst>
                <a:ext uri="{FF2B5EF4-FFF2-40B4-BE49-F238E27FC236}">
                  <a16:creationId xmlns:a16="http://schemas.microsoft.com/office/drawing/2014/main" id="{86A95656-F784-C9A6-B322-7E8059916EA5}"/>
                </a:ext>
              </a:extLst>
            </xdr:cNvPr>
            <xdr:cNvGraphicFramePr/>
          </xdr:nvGraphicFramePr>
          <xdr:xfrm>
            <a:off x="0" y="0"/>
            <a:ext cx="0" cy="0"/>
          </xdr:xfrm>
          <a:graphic>
            <a:graphicData uri="http://schemas.microsoft.com/office/drawing/2010/slicer">
              <sle:slicer xmlns:sle="http://schemas.microsoft.com/office/drawing/2010/slicer" name="AÑO"/>
            </a:graphicData>
          </a:graphic>
        </xdr:graphicFrame>
      </mc:Choice>
      <mc:Fallback xmlns="">
        <xdr:sp macro="" textlink="">
          <xdr:nvSpPr>
            <xdr:cNvPr id="0" name=""/>
            <xdr:cNvSpPr>
              <a:spLocks noTextEdit="1"/>
            </xdr:cNvSpPr>
          </xdr:nvSpPr>
          <xdr:spPr>
            <a:xfrm>
              <a:off x="4919589" y="427013"/>
              <a:ext cx="1815465" cy="950155"/>
            </a:xfrm>
            <a:prstGeom prst="rect">
              <a:avLst/>
            </a:prstGeom>
            <a:solidFill>
              <a:prstClr val="white"/>
            </a:solidFill>
            <a:ln w="1">
              <a:solidFill>
                <a:prstClr val="green"/>
              </a:solidFill>
            </a:ln>
          </xdr:spPr>
          <xdr:txBody>
            <a:bodyPr vertOverflow="clip" horzOverflow="clip"/>
            <a:lstStyle/>
            <a:p>
              <a:r>
                <a:rPr lang="es-419"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177459</xdr:colOff>
      <xdr:row>8</xdr:row>
      <xdr:rowOff>92172</xdr:rowOff>
    </xdr:from>
    <xdr:to>
      <xdr:col>9</xdr:col>
      <xdr:colOff>174235</xdr:colOff>
      <xdr:row>13</xdr:row>
      <xdr:rowOff>95250</xdr:rowOff>
    </xdr:to>
    <mc:AlternateContent xmlns:mc="http://schemas.openxmlformats.org/markup-compatibility/2006" xmlns:a14="http://schemas.microsoft.com/office/drawing/2010/main">
      <mc:Choice Requires="a14">
        <xdr:graphicFrame macro="">
          <xdr:nvGraphicFramePr>
            <xdr:cNvPr id="3" name="MES">
              <a:extLst>
                <a:ext uri="{FF2B5EF4-FFF2-40B4-BE49-F238E27FC236}">
                  <a16:creationId xmlns:a16="http://schemas.microsoft.com/office/drawing/2014/main" id="{D539EA05-DCC1-6EF6-DE9A-535EFE97CC74}"/>
                </a:ext>
              </a:extLst>
            </xdr:cNvPr>
            <xdr:cNvGraphicFramePr/>
          </xdr:nvGraphicFramePr>
          <xdr:xfrm>
            <a:off x="0" y="0"/>
            <a:ext cx="0" cy="0"/>
          </xdr:xfrm>
          <a:graphic>
            <a:graphicData uri="http://schemas.microsoft.com/office/drawing/2010/slicer">
              <sle:slicer xmlns:sle="http://schemas.microsoft.com/office/drawing/2010/slicer" name="MES"/>
            </a:graphicData>
          </a:graphic>
        </xdr:graphicFrame>
      </mc:Choice>
      <mc:Fallback xmlns="">
        <xdr:sp macro="" textlink="">
          <xdr:nvSpPr>
            <xdr:cNvPr id="0" name=""/>
            <xdr:cNvSpPr>
              <a:spLocks noTextEdit="1"/>
            </xdr:cNvSpPr>
          </xdr:nvSpPr>
          <xdr:spPr>
            <a:xfrm>
              <a:off x="4914168" y="1561367"/>
              <a:ext cx="1821180" cy="911323"/>
            </a:xfrm>
            <a:prstGeom prst="rect">
              <a:avLst/>
            </a:prstGeom>
            <a:solidFill>
              <a:prstClr val="white"/>
            </a:solidFill>
            <a:ln w="1">
              <a:solidFill>
                <a:prstClr val="green"/>
              </a:solidFill>
            </a:ln>
          </xdr:spPr>
          <xdr:txBody>
            <a:bodyPr vertOverflow="clip" horzOverflow="clip"/>
            <a:lstStyle/>
            <a:p>
              <a:r>
                <a:rPr lang="es-419"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aro ZEGARRA" refreshedDate="46275.461908217592" backgroundQuery="1" createdVersion="8" refreshedVersion="8" minRefreshableVersion="3" recordCount="0" supportSubquery="1" supportAdvancedDrill="1" xr:uid="{218F02E1-18CB-4271-AC24-6945982BAEFD}">
  <cacheSource type="external" connectionId="1"/>
  <cacheFields count="3">
    <cacheField name="[Range].[Factor_Estadistico].[Factor_Estadistico]" caption="Factor_Estadistico" numFmtId="0" hierarchy="56" level="1">
      <sharedItems count="5">
        <s v="(Vacio)"/>
        <s v="0"/>
        <s v="1"/>
        <s v="2"/>
        <s v="3"/>
      </sharedItems>
    </cacheField>
    <cacheField name="[Measures].[Sum of Qty 2]" caption="Sum of Qty 2" numFmtId="0" hierarchy="69" level="32767"/>
    <cacheField name="[Range].[AÑO].[AÑO]" caption="AÑO" numFmtId="0" hierarchy="64" level="1">
      <sharedItems containsSemiMixedTypes="0" containsNonDate="0" containsString="0"/>
    </cacheField>
  </cacheFields>
  <cacheHierarchies count="70">
    <cacheHierarchy uniqueName="[Range].[Partida Aduanera]" caption="Partida Aduanera" attribute="1" defaultMemberUniqueName="[Range].[Partida Aduanera].[All]" allUniqueName="[Range].[Partida Aduanera].[All]" dimensionUniqueName="[Range]" displayFolder="" count="0" memberValueDatatype="5" unbalanced="0"/>
    <cacheHierarchy uniqueName="[Range].[Descripcion de la Partida Aduanera]" caption="Descripcion de la Partida Aduanera" attribute="1" defaultMemberUniqueName="[Range].[Descripcion de la Partida Aduanera].[All]" allUniqueName="[Range].[Descripcion de la Partida Aduanera].[All]" dimensionUniqueName="[Range]" displayFolder="" count="0" memberValueDatatype="130" unbalanced="0"/>
    <cacheHierarchy uniqueName="[Range].[Aduana]" caption="Aduana" attribute="1" defaultMemberUniqueName="[Range].[Aduana].[All]" allUniqueName="[Range].[Aduana].[All]" dimensionUniqueName="[Range]" displayFolder="" count="0" memberValueDatatype="130" unbalanced="0"/>
    <cacheHierarchy uniqueName="[Range].[DUA / DAM]" caption="DUA / DAM" attribute="1" defaultMemberUniqueName="[Range].[DUA / DAM].[All]" allUniqueName="[Range].[DUA / DAM].[All]" dimensionUniqueName="[Range]" displayFolder="" count="0" memberValueDatatype="130" unbalanced="0"/>
    <cacheHierarchy uniqueName="[Range].[Fecha]" caption="Fecha" attribute="1" time="1" defaultMemberUniqueName="[Range].[Fecha].[All]" allUniqueName="[Range].[Fecha].[All]" dimensionUniqueName="[Range]" displayFolder="" count="0" memberValueDatatype="7" unbalanced="0"/>
    <cacheHierarchy uniqueName="[Range].[ETA]" caption="ETA" attribute="1" time="1" defaultMemberUniqueName="[Range].[ETA].[All]" allUniqueName="[Range].[ETA].[All]" dimensionUniqueName="[Range]" displayFolder="" count="0" memberValueDatatype="7" unbalanced="0"/>
    <cacheHierarchy uniqueName="[Range].[Manifiesto Nr.]" caption="Manifiesto Nr." attribute="1" defaultMemberUniqueName="[Range].[Manifiesto Nr.].[All]" allUniqueName="[Range].[Manifiesto Nr.].[All]" dimensionUniqueName="[Range]" displayFolder="" count="0" memberValueDatatype="130" unbalanced="0"/>
    <cacheHierarchy uniqueName="[Range].[Cod. Tributario]" caption="Cod. Tributario" attribute="1" defaultMemberUniqueName="[Range].[Cod. Tributario].[All]" allUniqueName="[Range].[Cod. Tributario].[All]" dimensionUniqueName="[Range]" displayFolder="" count="0" memberValueDatatype="5" unbalanced="0"/>
    <cacheHierarchy uniqueName="[Range].[Importador]" caption="Importador" attribute="1" defaultMemberUniqueName="[Range].[Importador].[All]" allUniqueName="[Range].[Importador].[All]" dimensionUniqueName="[Range]" displayFolder="" count="0" memberValueDatatype="130" unbalanced="0"/>
    <cacheHierarchy uniqueName="[Range].[Embarcador / Exportador]" caption="Embarcador / Exportador" attribute="1" defaultMemberUniqueName="[Range].[Embarcador / Exportador].[All]" allUniqueName="[Range].[Embarcador / Exportador].[All]" dimensionUniqueName="[Range]" displayFolder="" count="0" memberValueDatatype="130" unbalanced="0"/>
    <cacheHierarchy uniqueName="[Range].[Kg Bruto]" caption="Kg Bruto" attribute="1" defaultMemberUniqueName="[Range].[Kg Bruto].[All]" allUniqueName="[Range].[Kg Bruto].[All]" dimensionUniqueName="[Range]" displayFolder="" count="0" memberValueDatatype="5" unbalanced="0"/>
    <cacheHierarchy uniqueName="[Range].[Kg Neto]" caption="Kg Neto" attribute="1" defaultMemberUniqueName="[Range].[Kg Neto].[All]" allUniqueName="[Range].[Kg Neto].[All]" dimensionUniqueName="[Range]" displayFolder="" count="0" memberValueDatatype="5" unbalanced="0"/>
    <cacheHierarchy uniqueName="[Range].[Qty 1]" caption="Qty 1" attribute="1" defaultMemberUniqueName="[Range].[Qty 1].[All]" allUniqueName="[Range].[Qty 1].[All]" dimensionUniqueName="[Range]" displayFolder="" count="0" memberValueDatatype="20" unbalanced="0"/>
    <cacheHierarchy uniqueName="[Range].[Und 1]" caption="Und 1" attribute="1" defaultMemberUniqueName="[Range].[Und 1].[All]" allUniqueName="[Range].[Und 1].[All]" dimensionUniqueName="[Range]" displayFolder="" count="0" memberValueDatatype="130" unbalanced="0"/>
    <cacheHierarchy uniqueName="[Range].[Qty 2]" caption="Qty 2" attribute="1" defaultMemberUniqueName="[Range].[Qty 2].[All]" allUniqueName="[Range].[Qty 2].[All]" dimensionUniqueName="[Range]" displayFolder="" count="0" memberValueDatatype="20" unbalanced="0"/>
    <cacheHierarchy uniqueName="[Range].[Und 2]" caption="Und 2" attribute="1" defaultMemberUniqueName="[Range].[Und 2].[All]" allUniqueName="[Range].[Und 2].[All]" dimensionUniqueName="[Range]" displayFolder="" count="0" memberValueDatatype="130" unbalanced="0"/>
    <cacheHierarchy uniqueName="[Range].[U$ FOB Tot]" caption="U$ FOB Tot" attribute="1" defaultMemberUniqueName="[Range].[U$ FOB Tot].[All]" allUniqueName="[Range].[U$ FOB Tot].[All]" dimensionUniqueName="[Range]" displayFolder="" count="0" memberValueDatatype="5" unbalanced="0"/>
    <cacheHierarchy uniqueName="[Range].[U$ Flete Tot]" caption="U$ Flete Tot" attribute="1" defaultMemberUniqueName="[Range].[U$ Flete Tot].[All]" allUniqueName="[Range].[U$ Flete Tot].[All]" dimensionUniqueName="[Range]" displayFolder="" count="0" memberValueDatatype="5" unbalanced="0"/>
    <cacheHierarchy uniqueName="[Range].[U$ CFR Tot]" caption="U$ CFR Tot" attribute="1" defaultMemberUniqueName="[Range].[U$ CFR Tot].[All]" allUniqueName="[Range].[U$ CFR Tot].[All]" dimensionUniqueName="[Range]" displayFolder="" count="0" memberValueDatatype="5" unbalanced="0"/>
    <cacheHierarchy uniqueName="[Range].[U$ Seguro Tot]" caption="U$ Seguro Tot" attribute="1" defaultMemberUniqueName="[Range].[U$ Seguro Tot].[All]" allUniqueName="[Range].[U$ Seguro Tot].[All]" dimensionUniqueName="[Range]" displayFolder="" count="0" memberValueDatatype="5" unbalanced="0"/>
    <cacheHierarchy uniqueName="[Range].[U$ CIF Tot]" caption="U$ CIF Tot" attribute="1" defaultMemberUniqueName="[Range].[U$ CIF Tot].[All]" allUniqueName="[Range].[U$ CIF Tot].[All]" dimensionUniqueName="[Range]" displayFolder="" count="0" memberValueDatatype="5" unbalanced="0"/>
    <cacheHierarchy uniqueName="[Range].[U$ FOB Und 1]" caption="U$ FOB Und 1" attribute="1" defaultMemberUniqueName="[Range].[U$ FOB Und 1].[All]" allUniqueName="[Range].[U$ FOB Und 1].[All]" dimensionUniqueName="[Range]" displayFolder="" count="0" memberValueDatatype="5" unbalanced="0"/>
    <cacheHierarchy uniqueName="[Range].[U$ CFR Und 1]" caption="U$ CFR Und 1" attribute="1" defaultMemberUniqueName="[Range].[U$ CFR Und 1].[All]" allUniqueName="[Range].[U$ CFR Und 1].[All]" dimensionUniqueName="[Range]" displayFolder="" count="0" memberValueDatatype="5" unbalanced="0"/>
    <cacheHierarchy uniqueName="[Range].[U$ CIF Und 1]" caption="U$ CIF Und 1" attribute="1" defaultMemberUniqueName="[Range].[U$ CIF Und 1].[All]" allUniqueName="[Range].[U$ CIF Und 1].[All]" dimensionUniqueName="[Range]" displayFolder="" count="0" memberValueDatatype="5" unbalanced="0"/>
    <cacheHierarchy uniqueName="[Range].[U$ (CIF + Imp) Und 1]" caption="U$ (CIF + Imp) Und 1" attribute="1" defaultMemberUniqueName="[Range].[U$ (CIF + Imp) Und 1].[All]" allUniqueName="[Range].[U$ (CIF + Imp) Und 1].[All]" dimensionUniqueName="[Range]" displayFolder="" count="0" memberValueDatatype="5" unbalanced="0"/>
    <cacheHierarchy uniqueName="[Range].[U$ FOB Und 2]" caption="U$ FOB Und 2" attribute="1" defaultMemberUniqueName="[Range].[U$ FOB Und 2].[All]" allUniqueName="[Range].[U$ FOB Und 2].[All]" dimensionUniqueName="[Range]" displayFolder="" count="0" memberValueDatatype="5" unbalanced="0"/>
    <cacheHierarchy uniqueName="[Range].[U$ CFR Und 2]" caption="U$ CFR Und 2" attribute="1" defaultMemberUniqueName="[Range].[U$ CFR Und 2].[All]" allUniqueName="[Range].[U$ CFR Und 2].[All]" dimensionUniqueName="[Range]" displayFolder="" count="0" memberValueDatatype="5" unbalanced="0"/>
    <cacheHierarchy uniqueName="[Range].[U$ CIF Und 2]" caption="U$ CIF Und 2" attribute="1" defaultMemberUniqueName="[Range].[U$ CIF Und 2].[All]" allUniqueName="[Range].[U$ CIF Und 2].[All]" dimensionUniqueName="[Range]" displayFolder="" count="0" memberValueDatatype="5" unbalanced="0"/>
    <cacheHierarchy uniqueName="[Range].[U$ (CIF + Imp) Und 2]" caption="U$ (CIF + Imp) Und 2" attribute="1" defaultMemberUniqueName="[Range].[U$ (CIF + Imp) Und 2].[All]" allUniqueName="[Range].[U$ (CIF + Imp) Und 2].[All]" dimensionUniqueName="[Range]" displayFolder="" count="0" memberValueDatatype="5" unbalanced="0"/>
    <cacheHierarchy uniqueName="[Range].[Pais de Origen]" caption="Pais de Origen" attribute="1" defaultMemberUniqueName="[Range].[Pais de Origen].[All]" allUniqueName="[Range].[Pais de Origen].[All]" dimensionUniqueName="[Range]" displayFolder="" count="0" memberValueDatatype="130" unbalanced="0"/>
    <cacheHierarchy uniqueName="[Range].[Pais de Compra]" caption="Pais de Compra" attribute="1" defaultMemberUniqueName="[Range].[Pais de Compra].[All]" allUniqueName="[Range].[Pais de Compra].[All]" dimensionUniqueName="[Range]" displayFolder="" count="0" memberValueDatatype="130" unbalanced="0"/>
    <cacheHierarchy uniqueName="[Range].[Puerto de Embarque]" caption="Puerto de Embarque" attribute="1" defaultMemberUniqueName="[Range].[Puerto de Embarque].[All]" allUniqueName="[Range].[Puerto de Embarque].[All]" dimensionUniqueName="[Range]" displayFolder="" count="0" memberValueDatatype="130" unbalanced="0"/>
    <cacheHierarchy uniqueName="[Range].[Via]" caption="Via" attribute="1" defaultMemberUniqueName="[Range].[Via].[All]" allUniqueName="[Range].[Via].[All]" dimensionUniqueName="[Range]" displayFolder="" count="0" memberValueDatatype="130" unbalanced="0"/>
    <cacheHierarchy uniqueName="[Range].[Agencia de transporte]" caption="Agencia de transporte" attribute="1" defaultMemberUniqueName="[Range].[Agencia de transporte].[All]" allUniqueName="[Range].[Agencia de transporte].[All]" dimensionUniqueName="[Range]" displayFolder="" count="0" memberValueDatatype="130" unbalanced="0"/>
    <cacheHierarchy uniqueName="[Range].[Agente de Aduana]" caption="Agente de Aduana" attribute="1" defaultMemberUniqueName="[Range].[Agente de Aduana].[All]" allUniqueName="[Range].[Agente de Aduana].[All]" dimensionUniqueName="[Range]" displayFolder="" count="0" memberValueDatatype="130" unbalanced="0"/>
    <cacheHierarchy uniqueName="[Range].[Banco]" caption="Banco" attribute="1" defaultMemberUniqueName="[Range].[Banco].[All]" allUniqueName="[Range].[Banco].[All]" dimensionUniqueName="[Range]" displayFolder="" count="0" memberValueDatatype="130" unbalanced="0"/>
    <cacheHierarchy uniqueName="[Range].[Almacen]" caption="Almacen" attribute="1" defaultMemberUniqueName="[Range].[Almacen].[All]" allUniqueName="[Range].[Almacen].[All]" dimensionUniqueName="[Range]" displayFolder="" count="0" memberValueDatatype="130" unbalanced="0"/>
    <cacheHierarchy uniqueName="[Range].[Estado]" caption="Estado" attribute="1" defaultMemberUniqueName="[Range].[Estado].[All]" allUniqueName="[Range].[Estado].[All]" dimensionUniqueName="[Range]" displayFolder="" count="0" memberValueDatatype="130" unbalanced="0"/>
    <cacheHierarchy uniqueName="[Range].[Descripcion Comercial]" caption="Descripcion Comercial" attribute="1" defaultMemberUniqueName="[Range].[Descripcion Comercial].[All]" allUniqueName="[Range].[Descripcion Comercial].[All]" dimensionUniqueName="[Range]" displayFolder="" count="0" memberValueDatatype="130" unbalanced="0"/>
    <cacheHierarchy uniqueName="[Range].[Ad Valorem]" caption="Ad Valorem" attribute="1" defaultMemberUniqueName="[Range].[Ad Valorem].[All]" allUniqueName="[Range].[Ad Valorem].[All]" dimensionUniqueName="[Range]" displayFolder="" count="0" memberValueDatatype="5" unbalanced="0"/>
    <cacheHierarchy uniqueName="[Range].[IGV]" caption="IGV" attribute="1" defaultMemberUniqueName="[Range].[IGV].[All]" allUniqueName="[Range].[IGV].[All]" dimensionUniqueName="[Range]" displayFolder="" count="0" memberValueDatatype="5" unbalanced="0"/>
    <cacheHierarchy uniqueName="[Range].[ISC]" caption="ISC" attribute="1" defaultMemberUniqueName="[Range].[ISC].[All]" allUniqueName="[Range].[ISC].[All]" dimensionUniqueName="[Range]" displayFolder="" count="0" memberValueDatatype="20" unbalanced="0"/>
    <cacheHierarchy uniqueName="[Range].[IPM]" caption="IPM" attribute="1" defaultMemberUniqueName="[Range].[IPM].[All]" allUniqueName="[Range].[IPM].[All]" dimensionUniqueName="[Range]" displayFolder="" count="0" memberValueDatatype="5" unbalanced="0"/>
    <cacheHierarchy uniqueName="[Range].[Derechos Espec.]" caption="Derechos Espec." attribute="1" defaultMemberUniqueName="[Range].[Derechos Espec.].[All]" allUniqueName="[Range].[Derechos Espec.].[All]" dimensionUniqueName="[Range]" displayFolder="" count="0" memberValueDatatype="20" unbalanced="0"/>
    <cacheHierarchy uniqueName="[Range].[Sobretasa]" caption="Sobretasa" attribute="1" defaultMemberUniqueName="[Range].[Sobretasa].[All]" allUniqueName="[Range].[Sobretasa].[All]" dimensionUniqueName="[Range]" displayFolder="" count="0" memberValueDatatype="20" unbalanced="0"/>
    <cacheHierarchy uniqueName="[Range].[AntiDumping]" caption="AntiDumping" attribute="1" defaultMemberUniqueName="[Range].[AntiDumping].[All]" allUniqueName="[Range].[AntiDumping].[All]" dimensionUniqueName="[Range]" displayFolder="" count="0" memberValueDatatype="20" unbalanced="0"/>
    <cacheHierarchy uniqueName="[Range].[Fecha Embarque]" caption="Fecha Embarque" attribute="1" time="1" defaultMemberUniqueName="[Range].[Fecha Embarque].[All]" allUniqueName="[Range].[Fecha Embarque].[All]" dimensionUniqueName="[Range]" displayFolder="" count="0" memberValueDatatype="7" unbalanced="0"/>
    <cacheHierarchy uniqueName="[Range].[Descripcion1]" caption="Descripcion1" attribute="1" defaultMemberUniqueName="[Range].[Descripcion1].[All]" allUniqueName="[Range].[Descripcion1].[All]" dimensionUniqueName="[Range]" displayFolder="" count="0" memberValueDatatype="130" unbalanced="0"/>
    <cacheHierarchy uniqueName="[Range].[Descripcion2]" caption="Descripcion2" attribute="1" defaultMemberUniqueName="[Range].[Descripcion2].[All]" allUniqueName="[Range].[Descripcion2].[All]" dimensionUniqueName="[Range]" displayFolder="" count="0" memberValueDatatype="130" unbalanced="0"/>
    <cacheHierarchy uniqueName="[Range].[Descripcion3]" caption="Descripcion3" attribute="1" defaultMemberUniqueName="[Range].[Descripcion3].[All]" allUniqueName="[Range].[Descripcion3].[All]" dimensionUniqueName="[Range]" displayFolder="" count="0" memberValueDatatype="130" unbalanced="0"/>
    <cacheHierarchy uniqueName="[Range].[Descripcion4]" caption="Descripcion4" attribute="1" defaultMemberUniqueName="[Range].[Descripcion4].[All]" allUniqueName="[Range].[Descripcion4].[All]" dimensionUniqueName="[Range]" displayFolder="" count="0" memberValueDatatype="130" unbalanced="0"/>
    <cacheHierarchy uniqueName="[Range].[Descripcion5]" caption="Descripcion5" attribute="1" defaultMemberUniqueName="[Range].[Descripcion5].[All]" allUniqueName="[Range].[Descripcion5].[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Agente Carga(Origen)]" caption="Agente Carga(Origen)" attribute="1" defaultMemberUniqueName="[Range].[Agente Carga(Origen)].[All]" allUniqueName="[Range].[Agente Carga(Origen)].[All]" dimensionUniqueName="[Range]" displayFolder="" count="0" memberValueDatatype="130" unbalanced="0"/>
    <cacheHierarchy uniqueName="[Range].[Agente Carga(Destino)]" caption="Agente Carga(Destino)" attribute="1" defaultMemberUniqueName="[Range].[Agente Carga(Destino)].[All]" allUniqueName="[Range].[Agente Carga(Destino)].[All]" dimensionUniqueName="[Range]" displayFolder="" count="0" memberValueDatatype="130" unbalanced="0"/>
    <cacheHierarchy uniqueName="[Range].[Canal]" caption="Canal" attribute="1" defaultMemberUniqueName="[Range].[Canal].[All]" allUniqueName="[Range].[Canal].[All]" dimensionUniqueName="[Range]" displayFolder="" count="0" memberValueDatatype="130" unbalanced="0"/>
    <cacheHierarchy uniqueName="[Range].[Factor_Estadistico]" caption="Factor_Estadistico" attribute="1" defaultMemberUniqueName="[Range].[Factor_Estadistico].[All]" allUniqueName="[Range].[Factor_Estadistico].[All]" dimensionUniqueName="[Range]" displayFolder="" count="2" memberValueDatatype="130" unbalanced="0">
      <fieldsUsage count="2">
        <fieldUsage x="-1"/>
        <fieldUsage x="0"/>
      </fieldsUsage>
    </cacheHierarchy>
    <cacheHierarchy uniqueName="[Range].[Marca_Extraida]" caption="Marca_Extraida" attribute="1" defaultMemberUniqueName="[Range].[Marca_Extraida].[All]" allUniqueName="[Range].[Marca_Extraida].[All]" dimensionUniqueName="[Range]" displayFolder="" count="0" memberValueDatatype="130" unbalanced="0"/>
    <cacheHierarchy uniqueName="[Range].[Modelo_Serie]" caption="Modelo_Serie" attribute="1" defaultMemberUniqueName="[Range].[Modelo_Serie].[All]" allUniqueName="[Range].[Modelo_Serie].[All]" dimensionUniqueName="[Range]" displayFolder="" count="0" memberValueDatatype="130" unbalanced="0"/>
    <cacheHierarchy uniqueName="[Range].[Color]" caption="Color" attribute="1" defaultMemberUniqueName="[Range].[Color].[All]" allUniqueName="[Range].[Color].[All]" dimensionUniqueName="[Range]" displayFolder="" count="0" memberValueDatatype="130" unbalanced="0"/>
    <cacheHierarchy uniqueName="[Range].[Material]" caption="Material" attribute="1" defaultMemberUniqueName="[Range].[Material].[All]" allUniqueName="[Range].[Material].[All]" dimensionUniqueName="[Range]" displayFolder="" count="0" memberValueDatatype="130" unbalanced="0"/>
    <cacheHierarchy uniqueName="[Range].[Modulos]" caption="Modulos" attribute="1" defaultMemberUniqueName="[Range].[Modulos].[All]" allUniqueName="[Range].[Modulos].[All]" dimensionUniqueName="[Range]" displayFolder="" count="0" memberValueDatatype="130" unbalanced="0"/>
    <cacheHierarchy uniqueName="[Range].[Tipo_Producto]" caption="Tipo_Producto" attribute="1" defaultMemberUniqueName="[Range].[Tipo_Producto].[All]" allUniqueName="[Range].[Tipo_Producto].[All]" dimensionUniqueName="[Range]" displayFolder="" count="0" memberValueDatatype="130" unbalanced="0"/>
    <cacheHierarchy uniqueName="[Range].[Uso_Aplicacion]" caption="Uso_Aplicacion" attribute="1" defaultMemberUniqueName="[Range].[Uso_Aplicacion].[All]" allUniqueName="[Range].[Uso_Aplicacion].[All]" dimensionUniqueName="[Range]" displayFolder="" count="0" memberValueDatatype="130" unbalanced="0"/>
    <cacheHierarchy uniqueName="[Range].[AÑO]" caption="AÑO" attribute="1" defaultMemberUniqueName="[Range].[AÑO].[All]" allUniqueName="[Range].[AÑO].[All]" dimensionUniqueName="[Range]" displayFolder="" count="2" memberValueDatatype="20" unbalanced="0">
      <fieldsUsage count="2">
        <fieldUsage x="-1"/>
        <fieldUsage x="2"/>
      </fieldsUsage>
    </cacheHierarchy>
    <cacheHierarchy uniqueName="[Range].[MES]" caption="MES" attribute="1" defaultMemberUniqueName="[Range].[MES].[All]" allUniqueName="[Range].[MES].[All]" dimensionUniqueName="[Range]" displayFolder="" count="2" memberValueDatatype="130" unbalanced="0"/>
    <cacheHierarchy uniqueName="[Range].[HALF]" caption="HALF" attribute="1" defaultMemberUniqueName="[Range].[HALF].[All]" allUniqueName="[Range].[HALF].[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2]" caption="Sum of Qty 2"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aro ZEGARRA" refreshedDate="46275.461012268519" backgroundQuery="1" createdVersion="3" refreshedVersion="8" minRefreshableVersion="3" recordCount="0" supportSubquery="1" supportAdvancedDrill="1" xr:uid="{777B5433-DC3A-4E43-8347-BE49311254DF}">
  <cacheSource type="external" connectionId="1">
    <extLst>
      <ext xmlns:x14="http://schemas.microsoft.com/office/spreadsheetml/2009/9/main" uri="{F057638F-6D5F-4e77-A914-E7F072B9BCA8}">
        <x14:sourceConnection name="ThisWorkbookDataModel"/>
      </ext>
    </extLst>
  </cacheSource>
  <cacheFields count="0"/>
  <cacheHierarchies count="70">
    <cacheHierarchy uniqueName="[Range].[Partida Aduanera]" caption="Partida Aduanera" attribute="1" defaultMemberUniqueName="[Range].[Partida Aduanera].[All]" allUniqueName="[Range].[Partida Aduanera].[All]" dimensionUniqueName="[Range]" displayFolder="" count="0" memberValueDatatype="5" unbalanced="0"/>
    <cacheHierarchy uniqueName="[Range].[Descripcion de la Partida Aduanera]" caption="Descripcion de la Partida Aduanera" attribute="1" defaultMemberUniqueName="[Range].[Descripcion de la Partida Aduanera].[All]" allUniqueName="[Range].[Descripcion de la Partida Aduanera].[All]" dimensionUniqueName="[Range]" displayFolder="" count="0" memberValueDatatype="130" unbalanced="0"/>
    <cacheHierarchy uniqueName="[Range].[Aduana]" caption="Aduana" attribute="1" defaultMemberUniqueName="[Range].[Aduana].[All]" allUniqueName="[Range].[Aduana].[All]" dimensionUniqueName="[Range]" displayFolder="" count="0" memberValueDatatype="130" unbalanced="0"/>
    <cacheHierarchy uniqueName="[Range].[DUA / DAM]" caption="DUA / DAM" attribute="1" defaultMemberUniqueName="[Range].[DUA / DAM].[All]" allUniqueName="[Range].[DUA / DAM].[All]" dimensionUniqueName="[Range]" displayFolder="" count="0" memberValueDatatype="130" unbalanced="0"/>
    <cacheHierarchy uniqueName="[Range].[Fecha]" caption="Fecha" attribute="1" time="1" defaultMemberUniqueName="[Range].[Fecha].[All]" allUniqueName="[Range].[Fecha].[All]" dimensionUniqueName="[Range]" displayFolder="" count="0" memberValueDatatype="7" unbalanced="0"/>
    <cacheHierarchy uniqueName="[Range].[ETA]" caption="ETA" attribute="1" time="1" defaultMemberUniqueName="[Range].[ETA].[All]" allUniqueName="[Range].[ETA].[All]" dimensionUniqueName="[Range]" displayFolder="" count="0" memberValueDatatype="7" unbalanced="0"/>
    <cacheHierarchy uniqueName="[Range].[Manifiesto Nr.]" caption="Manifiesto Nr." attribute="1" defaultMemberUniqueName="[Range].[Manifiesto Nr.].[All]" allUniqueName="[Range].[Manifiesto Nr.].[All]" dimensionUniqueName="[Range]" displayFolder="" count="0" memberValueDatatype="130" unbalanced="0"/>
    <cacheHierarchy uniqueName="[Range].[Cod. Tributario]" caption="Cod. Tributario" attribute="1" defaultMemberUniqueName="[Range].[Cod. Tributario].[All]" allUniqueName="[Range].[Cod. Tributario].[All]" dimensionUniqueName="[Range]" displayFolder="" count="0" memberValueDatatype="5" unbalanced="0"/>
    <cacheHierarchy uniqueName="[Range].[Importador]" caption="Importador" attribute="1" defaultMemberUniqueName="[Range].[Importador].[All]" allUniqueName="[Range].[Importador].[All]" dimensionUniqueName="[Range]" displayFolder="" count="0" memberValueDatatype="130" unbalanced="0"/>
    <cacheHierarchy uniqueName="[Range].[Embarcador / Exportador]" caption="Embarcador / Exportador" attribute="1" defaultMemberUniqueName="[Range].[Embarcador / Exportador].[All]" allUniqueName="[Range].[Embarcador / Exportador].[All]" dimensionUniqueName="[Range]" displayFolder="" count="0" memberValueDatatype="130" unbalanced="0"/>
    <cacheHierarchy uniqueName="[Range].[Kg Bruto]" caption="Kg Bruto" attribute="1" defaultMemberUniqueName="[Range].[Kg Bruto].[All]" allUniqueName="[Range].[Kg Bruto].[All]" dimensionUniqueName="[Range]" displayFolder="" count="0" memberValueDatatype="5" unbalanced="0"/>
    <cacheHierarchy uniqueName="[Range].[Kg Neto]" caption="Kg Neto" attribute="1" defaultMemberUniqueName="[Range].[Kg Neto].[All]" allUniqueName="[Range].[Kg Neto].[All]" dimensionUniqueName="[Range]" displayFolder="" count="0" memberValueDatatype="5" unbalanced="0"/>
    <cacheHierarchy uniqueName="[Range].[Qty 1]" caption="Qty 1" attribute="1" defaultMemberUniqueName="[Range].[Qty 1].[All]" allUniqueName="[Range].[Qty 1].[All]" dimensionUniqueName="[Range]" displayFolder="" count="0" memberValueDatatype="20" unbalanced="0"/>
    <cacheHierarchy uniqueName="[Range].[Und 1]" caption="Und 1" attribute="1" defaultMemberUniqueName="[Range].[Und 1].[All]" allUniqueName="[Range].[Und 1].[All]" dimensionUniqueName="[Range]" displayFolder="" count="0" memberValueDatatype="130" unbalanced="0"/>
    <cacheHierarchy uniqueName="[Range].[Qty 2]" caption="Qty 2" attribute="1" defaultMemberUniqueName="[Range].[Qty 2].[All]" allUniqueName="[Range].[Qty 2].[All]" dimensionUniqueName="[Range]" displayFolder="" count="0" memberValueDatatype="20" unbalanced="0"/>
    <cacheHierarchy uniqueName="[Range].[Und 2]" caption="Und 2" attribute="1" defaultMemberUniqueName="[Range].[Und 2].[All]" allUniqueName="[Range].[Und 2].[All]" dimensionUniqueName="[Range]" displayFolder="" count="0" memberValueDatatype="130" unbalanced="0"/>
    <cacheHierarchy uniqueName="[Range].[U$ FOB Tot]" caption="U$ FOB Tot" attribute="1" defaultMemberUniqueName="[Range].[U$ FOB Tot].[All]" allUniqueName="[Range].[U$ FOB Tot].[All]" dimensionUniqueName="[Range]" displayFolder="" count="0" memberValueDatatype="5" unbalanced="0"/>
    <cacheHierarchy uniqueName="[Range].[U$ Flete Tot]" caption="U$ Flete Tot" attribute="1" defaultMemberUniqueName="[Range].[U$ Flete Tot].[All]" allUniqueName="[Range].[U$ Flete Tot].[All]" dimensionUniqueName="[Range]" displayFolder="" count="0" memberValueDatatype="5" unbalanced="0"/>
    <cacheHierarchy uniqueName="[Range].[U$ CFR Tot]" caption="U$ CFR Tot" attribute="1" defaultMemberUniqueName="[Range].[U$ CFR Tot].[All]" allUniqueName="[Range].[U$ CFR Tot].[All]" dimensionUniqueName="[Range]" displayFolder="" count="0" memberValueDatatype="5" unbalanced="0"/>
    <cacheHierarchy uniqueName="[Range].[U$ Seguro Tot]" caption="U$ Seguro Tot" attribute="1" defaultMemberUniqueName="[Range].[U$ Seguro Tot].[All]" allUniqueName="[Range].[U$ Seguro Tot].[All]" dimensionUniqueName="[Range]" displayFolder="" count="0" memberValueDatatype="5" unbalanced="0"/>
    <cacheHierarchy uniqueName="[Range].[U$ CIF Tot]" caption="U$ CIF Tot" attribute="1" defaultMemberUniqueName="[Range].[U$ CIF Tot].[All]" allUniqueName="[Range].[U$ CIF Tot].[All]" dimensionUniqueName="[Range]" displayFolder="" count="0" memberValueDatatype="5" unbalanced="0"/>
    <cacheHierarchy uniqueName="[Range].[U$ FOB Und 1]" caption="U$ FOB Und 1" attribute="1" defaultMemberUniqueName="[Range].[U$ FOB Und 1].[All]" allUniqueName="[Range].[U$ FOB Und 1].[All]" dimensionUniqueName="[Range]" displayFolder="" count="0" memberValueDatatype="5" unbalanced="0"/>
    <cacheHierarchy uniqueName="[Range].[U$ CFR Und 1]" caption="U$ CFR Und 1" attribute="1" defaultMemberUniqueName="[Range].[U$ CFR Und 1].[All]" allUniqueName="[Range].[U$ CFR Und 1].[All]" dimensionUniqueName="[Range]" displayFolder="" count="0" memberValueDatatype="5" unbalanced="0"/>
    <cacheHierarchy uniqueName="[Range].[U$ CIF Und 1]" caption="U$ CIF Und 1" attribute="1" defaultMemberUniqueName="[Range].[U$ CIF Und 1].[All]" allUniqueName="[Range].[U$ CIF Und 1].[All]" dimensionUniqueName="[Range]" displayFolder="" count="0" memberValueDatatype="5" unbalanced="0"/>
    <cacheHierarchy uniqueName="[Range].[U$ (CIF + Imp) Und 1]" caption="U$ (CIF + Imp) Und 1" attribute="1" defaultMemberUniqueName="[Range].[U$ (CIF + Imp) Und 1].[All]" allUniqueName="[Range].[U$ (CIF + Imp) Und 1].[All]" dimensionUniqueName="[Range]" displayFolder="" count="0" memberValueDatatype="5" unbalanced="0"/>
    <cacheHierarchy uniqueName="[Range].[U$ FOB Und 2]" caption="U$ FOB Und 2" attribute="1" defaultMemberUniqueName="[Range].[U$ FOB Und 2].[All]" allUniqueName="[Range].[U$ FOB Und 2].[All]" dimensionUniqueName="[Range]" displayFolder="" count="0" memberValueDatatype="5" unbalanced="0"/>
    <cacheHierarchy uniqueName="[Range].[U$ CFR Und 2]" caption="U$ CFR Und 2" attribute="1" defaultMemberUniqueName="[Range].[U$ CFR Und 2].[All]" allUniqueName="[Range].[U$ CFR Und 2].[All]" dimensionUniqueName="[Range]" displayFolder="" count="0" memberValueDatatype="5" unbalanced="0"/>
    <cacheHierarchy uniqueName="[Range].[U$ CIF Und 2]" caption="U$ CIF Und 2" attribute="1" defaultMemberUniqueName="[Range].[U$ CIF Und 2].[All]" allUniqueName="[Range].[U$ CIF Und 2].[All]" dimensionUniqueName="[Range]" displayFolder="" count="0" memberValueDatatype="5" unbalanced="0"/>
    <cacheHierarchy uniqueName="[Range].[U$ (CIF + Imp) Und 2]" caption="U$ (CIF + Imp) Und 2" attribute="1" defaultMemberUniqueName="[Range].[U$ (CIF + Imp) Und 2].[All]" allUniqueName="[Range].[U$ (CIF + Imp) Und 2].[All]" dimensionUniqueName="[Range]" displayFolder="" count="0" memberValueDatatype="5" unbalanced="0"/>
    <cacheHierarchy uniqueName="[Range].[Pais de Origen]" caption="Pais de Origen" attribute="1" defaultMemberUniqueName="[Range].[Pais de Origen].[All]" allUniqueName="[Range].[Pais de Origen].[All]" dimensionUniqueName="[Range]" displayFolder="" count="0" memberValueDatatype="130" unbalanced="0"/>
    <cacheHierarchy uniqueName="[Range].[Pais de Compra]" caption="Pais de Compra" attribute="1" defaultMemberUniqueName="[Range].[Pais de Compra].[All]" allUniqueName="[Range].[Pais de Compra].[All]" dimensionUniqueName="[Range]" displayFolder="" count="0" memberValueDatatype="130" unbalanced="0"/>
    <cacheHierarchy uniqueName="[Range].[Puerto de Embarque]" caption="Puerto de Embarque" attribute="1" defaultMemberUniqueName="[Range].[Puerto de Embarque].[All]" allUniqueName="[Range].[Puerto de Embarque].[All]" dimensionUniqueName="[Range]" displayFolder="" count="0" memberValueDatatype="130" unbalanced="0"/>
    <cacheHierarchy uniqueName="[Range].[Via]" caption="Via" attribute="1" defaultMemberUniqueName="[Range].[Via].[All]" allUniqueName="[Range].[Via].[All]" dimensionUniqueName="[Range]" displayFolder="" count="0" memberValueDatatype="130" unbalanced="0"/>
    <cacheHierarchy uniqueName="[Range].[Agencia de transporte]" caption="Agencia de transporte" attribute="1" defaultMemberUniqueName="[Range].[Agencia de transporte].[All]" allUniqueName="[Range].[Agencia de transporte].[All]" dimensionUniqueName="[Range]" displayFolder="" count="0" memberValueDatatype="130" unbalanced="0"/>
    <cacheHierarchy uniqueName="[Range].[Agente de Aduana]" caption="Agente de Aduana" attribute="1" defaultMemberUniqueName="[Range].[Agente de Aduana].[All]" allUniqueName="[Range].[Agente de Aduana].[All]" dimensionUniqueName="[Range]" displayFolder="" count="0" memberValueDatatype="130" unbalanced="0"/>
    <cacheHierarchy uniqueName="[Range].[Banco]" caption="Banco" attribute="1" defaultMemberUniqueName="[Range].[Banco].[All]" allUniqueName="[Range].[Banco].[All]" dimensionUniqueName="[Range]" displayFolder="" count="0" memberValueDatatype="130" unbalanced="0"/>
    <cacheHierarchy uniqueName="[Range].[Almacen]" caption="Almacen" attribute="1" defaultMemberUniqueName="[Range].[Almacen].[All]" allUniqueName="[Range].[Almacen].[All]" dimensionUniqueName="[Range]" displayFolder="" count="0" memberValueDatatype="130" unbalanced="0"/>
    <cacheHierarchy uniqueName="[Range].[Estado]" caption="Estado" attribute="1" defaultMemberUniqueName="[Range].[Estado].[All]" allUniqueName="[Range].[Estado].[All]" dimensionUniqueName="[Range]" displayFolder="" count="0" memberValueDatatype="130" unbalanced="0"/>
    <cacheHierarchy uniqueName="[Range].[Descripcion Comercial]" caption="Descripcion Comercial" attribute="1" defaultMemberUniqueName="[Range].[Descripcion Comercial].[All]" allUniqueName="[Range].[Descripcion Comercial].[All]" dimensionUniqueName="[Range]" displayFolder="" count="0" memberValueDatatype="130" unbalanced="0"/>
    <cacheHierarchy uniqueName="[Range].[Ad Valorem]" caption="Ad Valorem" attribute="1" defaultMemberUniqueName="[Range].[Ad Valorem].[All]" allUniqueName="[Range].[Ad Valorem].[All]" dimensionUniqueName="[Range]" displayFolder="" count="0" memberValueDatatype="5" unbalanced="0"/>
    <cacheHierarchy uniqueName="[Range].[IGV]" caption="IGV" attribute="1" defaultMemberUniqueName="[Range].[IGV].[All]" allUniqueName="[Range].[IGV].[All]" dimensionUniqueName="[Range]" displayFolder="" count="0" memberValueDatatype="5" unbalanced="0"/>
    <cacheHierarchy uniqueName="[Range].[ISC]" caption="ISC" attribute="1" defaultMemberUniqueName="[Range].[ISC].[All]" allUniqueName="[Range].[ISC].[All]" dimensionUniqueName="[Range]" displayFolder="" count="0" memberValueDatatype="20" unbalanced="0"/>
    <cacheHierarchy uniqueName="[Range].[IPM]" caption="IPM" attribute="1" defaultMemberUniqueName="[Range].[IPM].[All]" allUniqueName="[Range].[IPM].[All]" dimensionUniqueName="[Range]" displayFolder="" count="0" memberValueDatatype="5" unbalanced="0"/>
    <cacheHierarchy uniqueName="[Range].[Derechos Espec.]" caption="Derechos Espec." attribute="1" defaultMemberUniqueName="[Range].[Derechos Espec.].[All]" allUniqueName="[Range].[Derechos Espec.].[All]" dimensionUniqueName="[Range]" displayFolder="" count="0" memberValueDatatype="20" unbalanced="0"/>
    <cacheHierarchy uniqueName="[Range].[Sobretasa]" caption="Sobretasa" attribute="1" defaultMemberUniqueName="[Range].[Sobretasa].[All]" allUniqueName="[Range].[Sobretasa].[All]" dimensionUniqueName="[Range]" displayFolder="" count="0" memberValueDatatype="20" unbalanced="0"/>
    <cacheHierarchy uniqueName="[Range].[AntiDumping]" caption="AntiDumping" attribute="1" defaultMemberUniqueName="[Range].[AntiDumping].[All]" allUniqueName="[Range].[AntiDumping].[All]" dimensionUniqueName="[Range]" displayFolder="" count="0" memberValueDatatype="20" unbalanced="0"/>
    <cacheHierarchy uniqueName="[Range].[Fecha Embarque]" caption="Fecha Embarque" attribute="1" time="1" defaultMemberUniqueName="[Range].[Fecha Embarque].[All]" allUniqueName="[Range].[Fecha Embarque].[All]" dimensionUniqueName="[Range]" displayFolder="" count="0" memberValueDatatype="7" unbalanced="0"/>
    <cacheHierarchy uniqueName="[Range].[Descripcion1]" caption="Descripcion1" attribute="1" defaultMemberUniqueName="[Range].[Descripcion1].[All]" allUniqueName="[Range].[Descripcion1].[All]" dimensionUniqueName="[Range]" displayFolder="" count="0" memberValueDatatype="130" unbalanced="0"/>
    <cacheHierarchy uniqueName="[Range].[Descripcion2]" caption="Descripcion2" attribute="1" defaultMemberUniqueName="[Range].[Descripcion2].[All]" allUniqueName="[Range].[Descripcion2].[All]" dimensionUniqueName="[Range]" displayFolder="" count="0" memberValueDatatype="130" unbalanced="0"/>
    <cacheHierarchy uniqueName="[Range].[Descripcion3]" caption="Descripcion3" attribute="1" defaultMemberUniqueName="[Range].[Descripcion3].[All]" allUniqueName="[Range].[Descripcion3].[All]" dimensionUniqueName="[Range]" displayFolder="" count="0" memberValueDatatype="130" unbalanced="0"/>
    <cacheHierarchy uniqueName="[Range].[Descripcion4]" caption="Descripcion4" attribute="1" defaultMemberUniqueName="[Range].[Descripcion4].[All]" allUniqueName="[Range].[Descripcion4].[All]" dimensionUniqueName="[Range]" displayFolder="" count="0" memberValueDatatype="130" unbalanced="0"/>
    <cacheHierarchy uniqueName="[Range].[Descripcion5]" caption="Descripcion5" attribute="1" defaultMemberUniqueName="[Range].[Descripcion5].[All]" allUniqueName="[Range].[Descripcion5].[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Agente Carga(Origen)]" caption="Agente Carga(Origen)" attribute="1" defaultMemberUniqueName="[Range].[Agente Carga(Origen)].[All]" allUniqueName="[Range].[Agente Carga(Origen)].[All]" dimensionUniqueName="[Range]" displayFolder="" count="0" memberValueDatatype="130" unbalanced="0"/>
    <cacheHierarchy uniqueName="[Range].[Agente Carga(Destino)]" caption="Agente Carga(Destino)" attribute="1" defaultMemberUniqueName="[Range].[Agente Carga(Destino)].[All]" allUniqueName="[Range].[Agente Carga(Destino)].[All]" dimensionUniqueName="[Range]" displayFolder="" count="0" memberValueDatatype="130" unbalanced="0"/>
    <cacheHierarchy uniqueName="[Range].[Canal]" caption="Canal" attribute="1" defaultMemberUniqueName="[Range].[Canal].[All]" allUniqueName="[Range].[Canal].[All]" dimensionUniqueName="[Range]" displayFolder="" count="0" memberValueDatatype="130" unbalanced="0"/>
    <cacheHierarchy uniqueName="[Range].[Factor_Estadistico]" caption="Factor_Estadistico" attribute="1" defaultMemberUniqueName="[Range].[Factor_Estadistico].[All]" allUniqueName="[Range].[Factor_Estadistico].[All]" dimensionUniqueName="[Range]" displayFolder="" count="0" memberValueDatatype="130" unbalanced="0"/>
    <cacheHierarchy uniqueName="[Range].[Marca_Extraida]" caption="Marca_Extraida" attribute="1" defaultMemberUniqueName="[Range].[Marca_Extraida].[All]" allUniqueName="[Range].[Marca_Extraida].[All]" dimensionUniqueName="[Range]" displayFolder="" count="0" memberValueDatatype="130" unbalanced="0"/>
    <cacheHierarchy uniqueName="[Range].[Modelo_Serie]" caption="Modelo_Serie" attribute="1" defaultMemberUniqueName="[Range].[Modelo_Serie].[All]" allUniqueName="[Range].[Modelo_Serie].[All]" dimensionUniqueName="[Range]" displayFolder="" count="0" memberValueDatatype="130" unbalanced="0"/>
    <cacheHierarchy uniqueName="[Range].[Color]" caption="Color" attribute="1" defaultMemberUniqueName="[Range].[Color].[All]" allUniqueName="[Range].[Color].[All]" dimensionUniqueName="[Range]" displayFolder="" count="0" memberValueDatatype="130" unbalanced="0"/>
    <cacheHierarchy uniqueName="[Range].[Material]" caption="Material" attribute="1" defaultMemberUniqueName="[Range].[Material].[All]" allUniqueName="[Range].[Material].[All]" dimensionUniqueName="[Range]" displayFolder="" count="0" memberValueDatatype="130" unbalanced="0"/>
    <cacheHierarchy uniqueName="[Range].[Modulos]" caption="Modulos" attribute="1" defaultMemberUniqueName="[Range].[Modulos].[All]" allUniqueName="[Range].[Modulos].[All]" dimensionUniqueName="[Range]" displayFolder="" count="0" memberValueDatatype="130" unbalanced="0"/>
    <cacheHierarchy uniqueName="[Range].[Tipo_Producto]" caption="Tipo_Producto" attribute="1" defaultMemberUniqueName="[Range].[Tipo_Producto].[All]" allUniqueName="[Range].[Tipo_Producto].[All]" dimensionUniqueName="[Range]" displayFolder="" count="0" memberValueDatatype="130" unbalanced="0"/>
    <cacheHierarchy uniqueName="[Range].[Uso_Aplicacion]" caption="Uso_Aplicacion" attribute="1" defaultMemberUniqueName="[Range].[Uso_Aplicacion].[All]" allUniqueName="[Range].[Uso_Aplicacion].[All]" dimensionUniqueName="[Range]" displayFolder="" count="0" memberValueDatatype="130" unbalanced="0"/>
    <cacheHierarchy uniqueName="[Range].[AÑO]" caption="AÑO" attribute="1" defaultMemberUniqueName="[Range].[AÑO].[All]" allUniqueName="[Range].[AÑO].[All]" dimensionUniqueName="[Range]" displayFolder="" count="2" memberValueDatatype="20" unbalanced="0"/>
    <cacheHierarchy uniqueName="[Range].[MES]" caption="MES" attribute="1" defaultMemberUniqueName="[Range].[MES].[All]" allUniqueName="[Range].[MES].[All]" dimensionUniqueName="[Range]" displayFolder="" count="2" memberValueDatatype="130" unbalanced="0"/>
    <cacheHierarchy uniqueName="[Range].[HALF]" caption="HALF" attribute="1" defaultMemberUniqueName="[Range].[HALF].[All]" allUniqueName="[Range].[HALF].[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2]" caption="Sum of Qty 2" measure="1" displayFolder="" measureGroup="Range"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0060493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4E13F6-9332-4008-99E8-8537770D57E2}" name="PivotTable6" cacheId="1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Factor Estadistico">
  <location ref="C3:D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Qty 2" fld="1" baseField="0" baseItem="0" numFmtId="165"/>
  </dataFields>
  <formats count="1">
    <format dxfId="3">
      <pivotArea outline="0" collapsedLevelsAreSubtotals="1" fieldPosition="0"/>
    </format>
  </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asificacion!$A$1:$BO$5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ÑO" xr10:uid="{B8B5FB99-225C-4B13-98C2-7F1829088B52}" sourceName="[Range].[AÑO]">
  <pivotTables>
    <pivotTable tabId="3" name="PivotTable6"/>
  </pivotTables>
  <data>
    <olap pivotCacheId="2006049320">
      <levels count="2">
        <level uniqueName="[Range].[AÑO].[(All)]" sourceCaption="(All)" count="0"/>
        <level uniqueName="[Range].[AÑO].[AÑO]" sourceCaption="AÑO" count="2">
          <ranges>
            <range startItem="0">
              <i n="[Range].[AÑO].&amp;[2025]" c="2025"/>
              <i n="[Range].[AÑO].&amp;[2026]" c="2026"/>
            </range>
          </ranges>
        </level>
      </levels>
      <selections count="1">
        <selection n="[Range].[AÑO].[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S" xr10:uid="{1444BFCA-081E-43A9-9CE6-5CF47B30F624}" sourceName="[Range].[MES]">
  <pivotTables>
    <pivotTable tabId="3" name="PivotTable6"/>
  </pivotTables>
  <data>
    <olap pivotCacheId="2006049320">
      <levels count="2">
        <level uniqueName="[Range].[MES].[(All)]" sourceCaption="(All)" count="0"/>
        <level uniqueName="[Range].[MES].[MES]" sourceCaption="MES" count="2">
          <ranges>
            <range startItem="0">
              <i n="[Range].[MES].&amp;[01]" c="01"/>
              <i n="[Range].[MES].&amp;[05]" c="05"/>
            </range>
          </ranges>
        </level>
      </levels>
      <selections count="1">
        <selection n="[Range].[ME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ÑO" xr10:uid="{CD0DA569-95D5-4397-8DAA-12497683982B}" cache="Slicer_AÑO" caption="AÑO" level="1" rowHeight="234950"/>
  <slicer name="MES" xr10:uid="{C3194377-15C5-41A1-BA5F-44C29777A552}" cache="Slicer_MES" caption="MES"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showGridLines="0" workbookViewId="0">
      <pane ySplit="1" topLeftCell="A2" activePane="bottomLeft" state="frozen"/>
      <selection pane="bottomLeft" activeCell="B20" sqref="B20"/>
    </sheetView>
  </sheetViews>
  <sheetFormatPr defaultRowHeight="14.4" x14ac:dyDescent="0.3"/>
  <cols>
    <col min="1" max="1" width="36" customWidth="1"/>
    <col min="2" max="2" width="42" customWidth="1"/>
  </cols>
  <sheetData>
    <row r="1" spans="1:2" ht="24" customHeight="1" x14ac:dyDescent="0.3">
      <c r="A1" s="1" t="s">
        <v>0</v>
      </c>
      <c r="B1" s="1" t="s">
        <v>1</v>
      </c>
    </row>
    <row r="2" spans="1:2" x14ac:dyDescent="0.3">
      <c r="A2" s="2" t="s">
        <v>2</v>
      </c>
      <c r="B2" s="2" t="s">
        <v>3</v>
      </c>
    </row>
    <row r="3" spans="1:2" x14ac:dyDescent="0.3">
      <c r="A3" s="2" t="s">
        <v>4</v>
      </c>
      <c r="B3" s="2" t="s">
        <v>5</v>
      </c>
    </row>
    <row r="4" spans="1:2" x14ac:dyDescent="0.3">
      <c r="A4" s="2" t="s">
        <v>6</v>
      </c>
      <c r="B4" s="2" t="s">
        <v>7</v>
      </c>
    </row>
    <row r="5" spans="1:2" x14ac:dyDescent="0.3">
      <c r="A5" s="2" t="s">
        <v>8</v>
      </c>
      <c r="B5" s="2"/>
    </row>
    <row r="6" spans="1:2" x14ac:dyDescent="0.3">
      <c r="A6" s="2" t="s">
        <v>9</v>
      </c>
      <c r="B6" s="2" t="s">
        <v>10</v>
      </c>
    </row>
    <row r="7" spans="1:2" x14ac:dyDescent="0.3">
      <c r="A7" s="2" t="s">
        <v>11</v>
      </c>
      <c r="B7" s="2" t="s">
        <v>12</v>
      </c>
    </row>
    <row r="8" spans="1:2" x14ac:dyDescent="0.3">
      <c r="A8" s="2" t="s">
        <v>13</v>
      </c>
      <c r="B8" s="2" t="s">
        <v>14</v>
      </c>
    </row>
    <row r="9" spans="1:2" x14ac:dyDescent="0.3">
      <c r="A9" s="2" t="s">
        <v>15</v>
      </c>
      <c r="B9" s="2" t="s">
        <v>16</v>
      </c>
    </row>
    <row r="10" spans="1:2" x14ac:dyDescent="0.3">
      <c r="A10" s="2" t="s">
        <v>17</v>
      </c>
      <c r="B10" s="2" t="s">
        <v>16</v>
      </c>
    </row>
    <row r="11" spans="1:2" x14ac:dyDescent="0.3">
      <c r="A11" s="2" t="s">
        <v>18</v>
      </c>
      <c r="B11" s="2" t="s">
        <v>16</v>
      </c>
    </row>
    <row r="12" spans="1:2" x14ac:dyDescent="0.3">
      <c r="A12" s="2" t="s">
        <v>19</v>
      </c>
      <c r="B12" s="2" t="s">
        <v>16</v>
      </c>
    </row>
    <row r="13" spans="1:2" x14ac:dyDescent="0.3">
      <c r="A13" s="2" t="s">
        <v>20</v>
      </c>
      <c r="B13" s="2" t="s">
        <v>16</v>
      </c>
    </row>
    <row r="14" spans="1:2" x14ac:dyDescent="0.3">
      <c r="A14" s="2" t="s">
        <v>21</v>
      </c>
      <c r="B14" s="2" t="s">
        <v>22</v>
      </c>
    </row>
    <row r="15" spans="1:2" x14ac:dyDescent="0.3">
      <c r="A15" s="2" t="s">
        <v>23</v>
      </c>
      <c r="B15" s="2" t="s">
        <v>16</v>
      </c>
    </row>
  </sheetData>
  <autoFilter ref="A1:B15" xr:uid="{00000000-0009-0000-0000-000000000000}"/>
  <pageMargins left="0.75" right="0.75" top="1" bottom="1" header="0.5" footer="0.5"/>
  <headerFooter>
    <oddHeader>&amp;L&amp;"Aptos"&amp;11&amp;K000000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18AF1-E5A4-4466-AD96-2F16840976E8}">
  <dimension ref="C3:E9"/>
  <sheetViews>
    <sheetView showGridLines="0" tabSelected="1" zoomScale="130" zoomScaleNormal="130" workbookViewId="0">
      <selection activeCell="D24" sqref="D24"/>
    </sheetView>
  </sheetViews>
  <sheetFormatPr defaultRowHeight="14.4" x14ac:dyDescent="0.3"/>
  <cols>
    <col min="1" max="1" width="9.44140625" customWidth="1"/>
    <col min="2" max="2" width="7.33203125" customWidth="1"/>
    <col min="3" max="3" width="17.88671875" bestFit="1" customWidth="1"/>
    <col min="4" max="4" width="11.88671875" bestFit="1" customWidth="1"/>
    <col min="5" max="5" width="13.6640625" customWidth="1"/>
  </cols>
  <sheetData>
    <row r="3" spans="3:5" x14ac:dyDescent="0.3">
      <c r="C3" s="4" t="s">
        <v>360</v>
      </c>
      <c r="D3" t="s">
        <v>358</v>
      </c>
      <c r="E3" s="6" t="s">
        <v>359</v>
      </c>
    </row>
    <row r="4" spans="3:5" x14ac:dyDescent="0.3">
      <c r="C4" s="5" t="s">
        <v>365</v>
      </c>
      <c r="D4" s="8">
        <v>2036</v>
      </c>
      <c r="E4" s="7">
        <f>IFERROR(C4*D4,0)</f>
        <v>0</v>
      </c>
    </row>
    <row r="5" spans="3:5" x14ac:dyDescent="0.3">
      <c r="C5" s="5" t="s">
        <v>16</v>
      </c>
      <c r="D5" s="8">
        <v>12500</v>
      </c>
      <c r="E5" s="7">
        <f t="shared" ref="E5:E8" si="0">IFERROR(C5*D5,0)</f>
        <v>0</v>
      </c>
    </row>
    <row r="6" spans="3:5" x14ac:dyDescent="0.3">
      <c r="C6" s="5" t="s">
        <v>362</v>
      </c>
      <c r="D6" s="8">
        <v>29692</v>
      </c>
      <c r="E6" s="7">
        <f t="shared" si="0"/>
        <v>29692</v>
      </c>
    </row>
    <row r="7" spans="3:5" x14ac:dyDescent="0.3">
      <c r="C7" s="5" t="s">
        <v>363</v>
      </c>
      <c r="D7" s="8">
        <v>45440</v>
      </c>
      <c r="E7" s="7">
        <f t="shared" si="0"/>
        <v>90880</v>
      </c>
    </row>
    <row r="8" spans="3:5" x14ac:dyDescent="0.3">
      <c r="C8" s="5" t="s">
        <v>364</v>
      </c>
      <c r="D8" s="8">
        <v>5488</v>
      </c>
      <c r="E8" s="7">
        <f t="shared" si="0"/>
        <v>16464</v>
      </c>
    </row>
    <row r="9" spans="3:5" x14ac:dyDescent="0.3">
      <c r="C9" s="5" t="s">
        <v>361</v>
      </c>
      <c r="D9" s="8">
        <v>95156</v>
      </c>
      <c r="E9" s="9">
        <f>SUM(E4:E7)</f>
        <v>120572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O59"/>
  <sheetViews>
    <sheetView showGridLines="0" workbookViewId="0">
      <pane ySplit="1" topLeftCell="A2" activePane="bottomLeft" state="frozen"/>
      <selection pane="bottomLeft" sqref="A1:BO59"/>
    </sheetView>
  </sheetViews>
  <sheetFormatPr defaultRowHeight="14.4" x14ac:dyDescent="0.3"/>
  <cols>
    <col min="1" max="1" width="19" customWidth="1"/>
    <col min="2" max="2" width="60" customWidth="1"/>
    <col min="3" max="3" width="22" customWidth="1"/>
    <col min="4" max="4" width="14" customWidth="1"/>
    <col min="5" max="5" width="27.33203125" customWidth="1"/>
    <col min="6" max="6" width="13" customWidth="1"/>
    <col min="7" max="7" width="17" customWidth="1"/>
    <col min="8" max="8" width="18" customWidth="1"/>
    <col min="9" max="9" width="19" customWidth="1"/>
    <col min="10" max="10" width="26" customWidth="1"/>
    <col min="11" max="11" width="11" customWidth="1"/>
    <col min="12" max="12" width="10" customWidth="1"/>
    <col min="13" max="16" width="8" customWidth="1"/>
    <col min="17" max="17" width="13" customWidth="1"/>
    <col min="18" max="18" width="15" customWidth="1"/>
    <col min="19" max="19" width="13" customWidth="1"/>
    <col min="20" max="20" width="16" customWidth="1"/>
    <col min="21" max="21" width="13" customWidth="1"/>
    <col min="22" max="24" width="15" customWidth="1"/>
    <col min="25" max="25" width="23" customWidth="1"/>
    <col min="26" max="28" width="15" customWidth="1"/>
    <col min="29" max="29" width="23" customWidth="1"/>
    <col min="30" max="31" width="17" customWidth="1"/>
    <col min="32" max="32" width="21" customWidth="1"/>
    <col min="33" max="33" width="11" customWidth="1"/>
    <col min="34" max="34" width="29" customWidth="1"/>
    <col min="35" max="35" width="38.5546875" customWidth="1"/>
    <col min="36" max="36" width="28" customWidth="1"/>
    <col min="37" max="37" width="5" customWidth="1"/>
    <col min="38" max="38" width="11.109375" customWidth="1"/>
    <col min="39" max="39" width="77.21875" customWidth="1"/>
    <col min="40" max="40" width="13" hidden="1" customWidth="1"/>
    <col min="41" max="41" width="10" hidden="1" customWidth="1"/>
    <col min="42" max="42" width="6" hidden="1" customWidth="1"/>
    <col min="43" max="43" width="9" hidden="1" customWidth="1"/>
    <col min="44" max="44" width="18" hidden="1" customWidth="1"/>
    <col min="45" max="45" width="12" hidden="1" customWidth="1"/>
    <col min="46" max="46" width="14" hidden="1" customWidth="1"/>
    <col min="47" max="47" width="17" hidden="1" customWidth="1"/>
    <col min="48" max="48" width="60" hidden="1" customWidth="1"/>
    <col min="49" max="49" width="15" hidden="1" customWidth="1"/>
    <col min="50" max="50" width="48" hidden="1" customWidth="1"/>
    <col min="51" max="51" width="60" hidden="1" customWidth="1"/>
    <col min="52" max="52" width="16" hidden="1" customWidth="1"/>
    <col min="53" max="53" width="28" hidden="1" customWidth="1"/>
    <col min="54" max="54" width="23" hidden="1" customWidth="1"/>
    <col min="55" max="55" width="24" hidden="1" customWidth="1"/>
    <col min="56" max="56" width="10" hidden="1" customWidth="1"/>
    <col min="57" max="57" width="21" customWidth="1"/>
    <col min="58" max="58" width="17" customWidth="1"/>
    <col min="59" max="59" width="15" customWidth="1"/>
    <col min="60" max="60" width="9" customWidth="1"/>
    <col min="61" max="62" width="13" customWidth="1"/>
    <col min="63" max="63" width="16" customWidth="1"/>
    <col min="64" max="64" width="17" customWidth="1"/>
    <col min="65" max="65" width="9" customWidth="1"/>
    <col min="66" max="66" width="6" customWidth="1"/>
    <col min="67" max="67" width="7" customWidth="1"/>
  </cols>
  <sheetData>
    <row r="1" spans="1:67" ht="24" customHeight="1" x14ac:dyDescent="0.3">
      <c r="A1" s="1" t="s">
        <v>24</v>
      </c>
      <c r="B1" s="1" t="s">
        <v>25</v>
      </c>
      <c r="C1" s="1" t="s">
        <v>26</v>
      </c>
      <c r="D1" s="1" t="s">
        <v>27</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c r="V1" s="1" t="s">
        <v>45</v>
      </c>
      <c r="W1" s="1" t="s">
        <v>46</v>
      </c>
      <c r="X1" s="1" t="s">
        <v>47</v>
      </c>
      <c r="Y1" s="1" t="s">
        <v>48</v>
      </c>
      <c r="Z1" s="1" t="s">
        <v>49</v>
      </c>
      <c r="AA1" s="1" t="s">
        <v>50</v>
      </c>
      <c r="AB1" s="1" t="s">
        <v>51</v>
      </c>
      <c r="AC1" s="1" t="s">
        <v>52</v>
      </c>
      <c r="AD1" s="1" t="s">
        <v>53</v>
      </c>
      <c r="AE1" s="1" t="s">
        <v>54</v>
      </c>
      <c r="AF1" s="1" t="s">
        <v>55</v>
      </c>
      <c r="AG1" s="1" t="s">
        <v>56</v>
      </c>
      <c r="AH1" s="1" t="s">
        <v>57</v>
      </c>
      <c r="AI1" s="1" t="s">
        <v>58</v>
      </c>
      <c r="AJ1" s="1" t="s">
        <v>59</v>
      </c>
      <c r="AK1" s="1" t="s">
        <v>60</v>
      </c>
      <c r="AL1" s="1" t="s">
        <v>61</v>
      </c>
      <c r="AM1" s="1" t="s">
        <v>62</v>
      </c>
      <c r="AN1" s="1" t="s">
        <v>63</v>
      </c>
      <c r="AO1" s="1" t="s">
        <v>64</v>
      </c>
      <c r="AP1" s="1" t="s">
        <v>65</v>
      </c>
      <c r="AQ1" s="1" t="s">
        <v>66</v>
      </c>
      <c r="AR1" s="1" t="s">
        <v>67</v>
      </c>
      <c r="AS1" s="1" t="s">
        <v>68</v>
      </c>
      <c r="AT1" s="1" t="s">
        <v>69</v>
      </c>
      <c r="AU1" s="1" t="s">
        <v>70</v>
      </c>
      <c r="AV1" s="1" t="s">
        <v>71</v>
      </c>
      <c r="AW1" s="1" t="s">
        <v>72</v>
      </c>
      <c r="AX1" s="1" t="s">
        <v>73</v>
      </c>
      <c r="AY1" s="1" t="s">
        <v>74</v>
      </c>
      <c r="AZ1" s="1" t="s">
        <v>75</v>
      </c>
      <c r="BA1" s="1" t="s">
        <v>76</v>
      </c>
      <c r="BB1" s="1" t="s">
        <v>77</v>
      </c>
      <c r="BC1" s="1" t="s">
        <v>78</v>
      </c>
      <c r="BD1" s="1" t="s">
        <v>79</v>
      </c>
      <c r="BE1" s="1" t="s">
        <v>80</v>
      </c>
      <c r="BF1" s="1" t="s">
        <v>81</v>
      </c>
      <c r="BG1" s="1" t="s">
        <v>82</v>
      </c>
      <c r="BH1" s="1" t="s">
        <v>83</v>
      </c>
      <c r="BI1" s="1" t="s">
        <v>84</v>
      </c>
      <c r="BJ1" s="1" t="s">
        <v>85</v>
      </c>
      <c r="BK1" s="1" t="s">
        <v>86</v>
      </c>
      <c r="BL1" s="1" t="s">
        <v>87</v>
      </c>
      <c r="BM1" s="1" t="s">
        <v>88</v>
      </c>
      <c r="BN1" s="1" t="s">
        <v>89</v>
      </c>
      <c r="BO1" s="1" t="s">
        <v>90</v>
      </c>
    </row>
    <row r="2" spans="1:67" x14ac:dyDescent="0.3">
      <c r="A2" s="2">
        <v>3926909090</v>
      </c>
      <c r="B2" s="2" t="s">
        <v>91</v>
      </c>
      <c r="C2" s="2" t="s">
        <v>92</v>
      </c>
      <c r="D2" s="2" t="s">
        <v>93</v>
      </c>
      <c r="E2" s="3">
        <v>46031</v>
      </c>
      <c r="F2" s="3">
        <v>46035</v>
      </c>
      <c r="G2" s="2" t="s">
        <v>94</v>
      </c>
      <c r="H2" s="2">
        <v>20392800434</v>
      </c>
      <c r="I2" s="2" t="s">
        <v>95</v>
      </c>
      <c r="J2" s="2"/>
      <c r="K2" s="2">
        <v>234.62</v>
      </c>
      <c r="L2" s="2">
        <v>218.46</v>
      </c>
      <c r="M2" s="2">
        <v>5600</v>
      </c>
      <c r="N2" s="2" t="s">
        <v>96</v>
      </c>
      <c r="O2" s="2">
        <v>5600</v>
      </c>
      <c r="P2" s="2" t="s">
        <v>96</v>
      </c>
      <c r="Q2" s="2">
        <v>2072</v>
      </c>
      <c r="R2" s="2">
        <v>43.39</v>
      </c>
      <c r="S2" s="2">
        <v>2115.39</v>
      </c>
      <c r="T2" s="2">
        <v>3.49</v>
      </c>
      <c r="U2" s="2">
        <v>2118.88</v>
      </c>
      <c r="V2" s="2">
        <v>0.37</v>
      </c>
      <c r="W2" s="2">
        <v>0.377</v>
      </c>
      <c r="X2" s="2">
        <v>0.378</v>
      </c>
      <c r="Y2" s="2">
        <v>0.40100000000000002</v>
      </c>
      <c r="Z2" s="2">
        <v>0.37</v>
      </c>
      <c r="AA2" s="2">
        <v>0.377</v>
      </c>
      <c r="AB2" s="2">
        <v>0.378</v>
      </c>
      <c r="AC2" s="2">
        <v>0.40100000000000002</v>
      </c>
      <c r="AD2" s="2" t="s">
        <v>97</v>
      </c>
      <c r="AE2" s="2" t="s">
        <v>98</v>
      </c>
      <c r="AF2" s="2" t="s">
        <v>99</v>
      </c>
      <c r="AG2" s="2" t="s">
        <v>100</v>
      </c>
      <c r="AH2" s="2" t="s">
        <v>101</v>
      </c>
      <c r="AI2" s="2" t="s">
        <v>102</v>
      </c>
      <c r="AJ2" s="2" t="s">
        <v>103</v>
      </c>
      <c r="AK2" s="2" t="s">
        <v>104</v>
      </c>
      <c r="AL2" s="2" t="s">
        <v>105</v>
      </c>
      <c r="AM2" s="2" t="s">
        <v>106</v>
      </c>
      <c r="AN2" s="2">
        <v>127.13</v>
      </c>
      <c r="AO2" s="2">
        <v>359.36</v>
      </c>
      <c r="AP2" s="2">
        <v>0</v>
      </c>
      <c r="AQ2" s="2">
        <v>44.92</v>
      </c>
      <c r="AR2" s="2">
        <v>0</v>
      </c>
      <c r="AS2" s="2">
        <v>0</v>
      </c>
      <c r="AT2" s="2">
        <v>0</v>
      </c>
      <c r="AU2" s="3">
        <v>46001</v>
      </c>
      <c r="AV2" s="2" t="s">
        <v>107</v>
      </c>
      <c r="AW2" s="2" t="s">
        <v>108</v>
      </c>
      <c r="AX2" s="2" t="s">
        <v>109</v>
      </c>
      <c r="AY2" s="2" t="s">
        <v>110</v>
      </c>
      <c r="AZ2" s="2" t="s">
        <v>111</v>
      </c>
      <c r="BA2" s="2" t="s">
        <v>112</v>
      </c>
      <c r="BB2" s="2" t="s">
        <v>113</v>
      </c>
      <c r="BC2" s="2" t="s">
        <v>114</v>
      </c>
      <c r="BD2" s="2" t="s">
        <v>115</v>
      </c>
      <c r="BE2" s="2" t="s">
        <v>16</v>
      </c>
      <c r="BF2" s="2" t="s">
        <v>116</v>
      </c>
      <c r="BG2" s="2" t="s">
        <v>117</v>
      </c>
      <c r="BH2" s="2" t="s">
        <v>118</v>
      </c>
      <c r="BI2" s="2"/>
      <c r="BJ2" s="2"/>
      <c r="BK2" s="2"/>
      <c r="BL2" s="2"/>
      <c r="BM2" s="2">
        <v>2026</v>
      </c>
      <c r="BN2" s="2" t="s">
        <v>119</v>
      </c>
      <c r="BO2" s="2" t="s">
        <v>120</v>
      </c>
    </row>
    <row r="3" spans="1:67" x14ac:dyDescent="0.3">
      <c r="A3" s="2">
        <v>3926909090</v>
      </c>
      <c r="B3" s="2" t="s">
        <v>91</v>
      </c>
      <c r="C3" s="2" t="s">
        <v>92</v>
      </c>
      <c r="D3" s="2" t="s">
        <v>121</v>
      </c>
      <c r="E3" s="3">
        <v>46031</v>
      </c>
      <c r="F3" s="3">
        <v>46035</v>
      </c>
      <c r="G3" s="2" t="s">
        <v>94</v>
      </c>
      <c r="H3" s="2">
        <v>20392800434</v>
      </c>
      <c r="I3" s="2" t="s">
        <v>95</v>
      </c>
      <c r="J3" s="2"/>
      <c r="K3" s="2">
        <v>34.65</v>
      </c>
      <c r="L3" s="2">
        <v>32.26</v>
      </c>
      <c r="M3" s="2">
        <v>600</v>
      </c>
      <c r="N3" s="2" t="s">
        <v>96</v>
      </c>
      <c r="O3" s="2">
        <v>600</v>
      </c>
      <c r="P3" s="2" t="s">
        <v>96</v>
      </c>
      <c r="Q3" s="2">
        <v>306</v>
      </c>
      <c r="R3" s="2">
        <v>6.4</v>
      </c>
      <c r="S3" s="2">
        <v>312.39999999999998</v>
      </c>
      <c r="T3" s="2">
        <v>0.51</v>
      </c>
      <c r="U3" s="2">
        <v>312.91000000000003</v>
      </c>
      <c r="V3" s="2">
        <v>0.51</v>
      </c>
      <c r="W3" s="2">
        <v>0.52</v>
      </c>
      <c r="X3" s="2">
        <v>0.52100000000000002</v>
      </c>
      <c r="Y3" s="2">
        <v>0.55200000000000005</v>
      </c>
      <c r="Z3" s="2">
        <v>0.51</v>
      </c>
      <c r="AA3" s="2">
        <v>0.52</v>
      </c>
      <c r="AB3" s="2">
        <v>0.52100000000000002</v>
      </c>
      <c r="AC3" s="2">
        <v>0.55200000000000005</v>
      </c>
      <c r="AD3" s="2" t="s">
        <v>97</v>
      </c>
      <c r="AE3" s="2" t="s">
        <v>98</v>
      </c>
      <c r="AF3" s="2" t="s">
        <v>99</v>
      </c>
      <c r="AG3" s="2" t="s">
        <v>100</v>
      </c>
      <c r="AH3" s="2" t="s">
        <v>101</v>
      </c>
      <c r="AI3" s="2" t="s">
        <v>102</v>
      </c>
      <c r="AJ3" s="2" t="s">
        <v>103</v>
      </c>
      <c r="AK3" s="2" t="s">
        <v>104</v>
      </c>
      <c r="AL3" s="2" t="s">
        <v>105</v>
      </c>
      <c r="AM3" s="2" t="s">
        <v>122</v>
      </c>
      <c r="AN3" s="2">
        <v>18.78</v>
      </c>
      <c r="AO3" s="2">
        <v>53.07</v>
      </c>
      <c r="AP3" s="2">
        <v>0</v>
      </c>
      <c r="AQ3" s="2">
        <v>6.63</v>
      </c>
      <c r="AR3" s="2">
        <v>0</v>
      </c>
      <c r="AS3" s="2">
        <v>0</v>
      </c>
      <c r="AT3" s="2">
        <v>0</v>
      </c>
      <c r="AU3" s="3">
        <v>46001</v>
      </c>
      <c r="AV3" s="2" t="s">
        <v>107</v>
      </c>
      <c r="AW3" s="2" t="s">
        <v>123</v>
      </c>
      <c r="AX3" s="2" t="s">
        <v>109</v>
      </c>
      <c r="AY3" s="2" t="s">
        <v>110</v>
      </c>
      <c r="AZ3" s="2" t="s">
        <v>111</v>
      </c>
      <c r="BA3" s="2" t="s">
        <v>112</v>
      </c>
      <c r="BB3" s="2" t="s">
        <v>113</v>
      </c>
      <c r="BC3" s="2" t="s">
        <v>114</v>
      </c>
      <c r="BD3" s="2" t="s">
        <v>115</v>
      </c>
      <c r="BE3" s="2" t="s">
        <v>16</v>
      </c>
      <c r="BF3" s="2" t="s">
        <v>116</v>
      </c>
      <c r="BG3" s="2" t="s">
        <v>117</v>
      </c>
      <c r="BH3" s="2" t="s">
        <v>124</v>
      </c>
      <c r="BI3" s="2"/>
      <c r="BJ3" s="2"/>
      <c r="BK3" s="2"/>
      <c r="BL3" s="2"/>
      <c r="BM3" s="2">
        <v>2026</v>
      </c>
      <c r="BN3" s="2" t="s">
        <v>119</v>
      </c>
      <c r="BO3" s="2" t="s">
        <v>120</v>
      </c>
    </row>
    <row r="4" spans="1:67" x14ac:dyDescent="0.3">
      <c r="A4" s="2">
        <v>3926909090</v>
      </c>
      <c r="B4" s="2" t="s">
        <v>91</v>
      </c>
      <c r="C4" s="2" t="s">
        <v>92</v>
      </c>
      <c r="D4" s="2" t="s">
        <v>125</v>
      </c>
      <c r="E4" s="3">
        <v>46031</v>
      </c>
      <c r="F4" s="3">
        <v>46035</v>
      </c>
      <c r="G4" s="2" t="s">
        <v>94</v>
      </c>
      <c r="H4" s="2">
        <v>20392800434</v>
      </c>
      <c r="I4" s="2" t="s">
        <v>95</v>
      </c>
      <c r="J4" s="2"/>
      <c r="K4" s="2">
        <v>230.99</v>
      </c>
      <c r="L4" s="2">
        <v>215.08</v>
      </c>
      <c r="M4" s="2">
        <v>5100</v>
      </c>
      <c r="N4" s="2" t="s">
        <v>96</v>
      </c>
      <c r="O4" s="2">
        <v>5100</v>
      </c>
      <c r="P4" s="2" t="s">
        <v>96</v>
      </c>
      <c r="Q4" s="2">
        <v>2040</v>
      </c>
      <c r="R4" s="2">
        <v>42.72</v>
      </c>
      <c r="S4" s="2">
        <v>2082.7199999999998</v>
      </c>
      <c r="T4" s="2">
        <v>3.43</v>
      </c>
      <c r="U4" s="2">
        <v>2086.15</v>
      </c>
      <c r="V4" s="2">
        <v>0.4</v>
      </c>
      <c r="W4" s="2">
        <v>0.40799999999999997</v>
      </c>
      <c r="X4" s="2">
        <v>0.40899999999999997</v>
      </c>
      <c r="Y4" s="2">
        <v>0.433</v>
      </c>
      <c r="Z4" s="2">
        <v>0.4</v>
      </c>
      <c r="AA4" s="2">
        <v>0.40799999999999997</v>
      </c>
      <c r="AB4" s="2">
        <v>0.40899999999999997</v>
      </c>
      <c r="AC4" s="2">
        <v>0.433</v>
      </c>
      <c r="AD4" s="2" t="s">
        <v>97</v>
      </c>
      <c r="AE4" s="2" t="s">
        <v>98</v>
      </c>
      <c r="AF4" s="2" t="s">
        <v>99</v>
      </c>
      <c r="AG4" s="2" t="s">
        <v>100</v>
      </c>
      <c r="AH4" s="2" t="s">
        <v>101</v>
      </c>
      <c r="AI4" s="2" t="s">
        <v>102</v>
      </c>
      <c r="AJ4" s="2" t="s">
        <v>103</v>
      </c>
      <c r="AK4" s="2" t="s">
        <v>104</v>
      </c>
      <c r="AL4" s="2" t="s">
        <v>105</v>
      </c>
      <c r="AM4" s="2" t="s">
        <v>126</v>
      </c>
      <c r="AN4" s="2">
        <v>125.17</v>
      </c>
      <c r="AO4" s="2">
        <v>353.81</v>
      </c>
      <c r="AP4" s="2">
        <v>0</v>
      </c>
      <c r="AQ4" s="2">
        <v>44.23</v>
      </c>
      <c r="AR4" s="2">
        <v>0</v>
      </c>
      <c r="AS4" s="2">
        <v>0</v>
      </c>
      <c r="AT4" s="2">
        <v>0</v>
      </c>
      <c r="AU4" s="3">
        <v>46001</v>
      </c>
      <c r="AV4" s="2" t="s">
        <v>127</v>
      </c>
      <c r="AW4" s="2" t="s">
        <v>108</v>
      </c>
      <c r="AX4" s="2" t="s">
        <v>109</v>
      </c>
      <c r="AY4" s="2" t="s">
        <v>128</v>
      </c>
      <c r="AZ4" s="2" t="s">
        <v>129</v>
      </c>
      <c r="BA4" s="2" t="s">
        <v>112</v>
      </c>
      <c r="BB4" s="2" t="s">
        <v>113</v>
      </c>
      <c r="BC4" s="2" t="s">
        <v>114</v>
      </c>
      <c r="BD4" s="2" t="s">
        <v>115</v>
      </c>
      <c r="BE4" s="2" t="s">
        <v>16</v>
      </c>
      <c r="BF4" s="2" t="s">
        <v>116</v>
      </c>
      <c r="BG4" s="2"/>
      <c r="BH4" s="2" t="s">
        <v>118</v>
      </c>
      <c r="BI4" s="2"/>
      <c r="BJ4" s="2"/>
      <c r="BK4" s="2" t="s">
        <v>130</v>
      </c>
      <c r="BL4" s="2"/>
      <c r="BM4" s="2">
        <v>2026</v>
      </c>
      <c r="BN4" s="2" t="s">
        <v>119</v>
      </c>
      <c r="BO4" s="2" t="s">
        <v>120</v>
      </c>
    </row>
    <row r="5" spans="1:67" x14ac:dyDescent="0.3">
      <c r="A5" s="2">
        <v>8536501900</v>
      </c>
      <c r="B5" s="2" t="s">
        <v>131</v>
      </c>
      <c r="C5" s="2" t="s">
        <v>92</v>
      </c>
      <c r="D5" s="2" t="s">
        <v>132</v>
      </c>
      <c r="E5" s="3">
        <v>46031</v>
      </c>
      <c r="F5" s="3">
        <v>46035</v>
      </c>
      <c r="G5" s="2" t="s">
        <v>94</v>
      </c>
      <c r="H5" s="2">
        <v>20392800434</v>
      </c>
      <c r="I5" s="2" t="s">
        <v>95</v>
      </c>
      <c r="J5" s="2"/>
      <c r="K5" s="2">
        <v>70.38</v>
      </c>
      <c r="L5" s="2">
        <v>65.53</v>
      </c>
      <c r="M5" s="2">
        <v>840</v>
      </c>
      <c r="N5" s="2" t="s">
        <v>96</v>
      </c>
      <c r="O5" s="2">
        <v>840</v>
      </c>
      <c r="P5" s="2" t="s">
        <v>96</v>
      </c>
      <c r="Q5" s="2">
        <v>621.6</v>
      </c>
      <c r="R5" s="2">
        <v>13.01</v>
      </c>
      <c r="S5" s="2">
        <v>634.61</v>
      </c>
      <c r="T5" s="2">
        <v>1.04</v>
      </c>
      <c r="U5" s="2">
        <v>635.65</v>
      </c>
      <c r="V5" s="2">
        <v>0.74</v>
      </c>
      <c r="W5" s="2">
        <v>0.755</v>
      </c>
      <c r="X5" s="2">
        <v>0.75600000000000001</v>
      </c>
      <c r="Y5" s="2">
        <v>0.75600000000000001</v>
      </c>
      <c r="Z5" s="2">
        <v>0.74</v>
      </c>
      <c r="AA5" s="2">
        <v>0.755</v>
      </c>
      <c r="AB5" s="2">
        <v>0.75600000000000001</v>
      </c>
      <c r="AC5" s="2">
        <v>0.75600000000000001</v>
      </c>
      <c r="AD5" s="2" t="s">
        <v>97</v>
      </c>
      <c r="AE5" s="2" t="s">
        <v>98</v>
      </c>
      <c r="AF5" s="2" t="s">
        <v>99</v>
      </c>
      <c r="AG5" s="2" t="s">
        <v>100</v>
      </c>
      <c r="AH5" s="2" t="s">
        <v>101</v>
      </c>
      <c r="AI5" s="2" t="s">
        <v>102</v>
      </c>
      <c r="AJ5" s="2" t="s">
        <v>103</v>
      </c>
      <c r="AK5" s="2" t="s">
        <v>104</v>
      </c>
      <c r="AL5" s="2" t="s">
        <v>105</v>
      </c>
      <c r="AM5" s="2" t="s">
        <v>133</v>
      </c>
      <c r="AN5" s="2">
        <v>0</v>
      </c>
      <c r="AO5" s="2">
        <v>101.71</v>
      </c>
      <c r="AP5" s="2">
        <v>0</v>
      </c>
      <c r="AQ5" s="2">
        <v>12.71</v>
      </c>
      <c r="AR5" s="2">
        <v>0</v>
      </c>
      <c r="AS5" s="2">
        <v>0</v>
      </c>
      <c r="AT5" s="2">
        <v>0</v>
      </c>
      <c r="AU5" s="3">
        <v>46001</v>
      </c>
      <c r="AV5" s="2" t="s">
        <v>134</v>
      </c>
      <c r="AW5" s="2" t="s">
        <v>108</v>
      </c>
      <c r="AX5" s="2" t="s">
        <v>135</v>
      </c>
      <c r="AY5" s="2" t="s">
        <v>136</v>
      </c>
      <c r="AZ5" s="2" t="s">
        <v>129</v>
      </c>
      <c r="BA5" s="2" t="s">
        <v>112</v>
      </c>
      <c r="BB5" s="2" t="s">
        <v>113</v>
      </c>
      <c r="BC5" s="2" t="s">
        <v>114</v>
      </c>
      <c r="BD5" s="2" t="s">
        <v>115</v>
      </c>
      <c r="BE5" s="2" t="s">
        <v>362</v>
      </c>
      <c r="BF5" s="2" t="s">
        <v>116</v>
      </c>
      <c r="BG5" s="2"/>
      <c r="BH5" s="2" t="s">
        <v>118</v>
      </c>
      <c r="BI5" s="2"/>
      <c r="BJ5" s="2"/>
      <c r="BK5" s="2" t="s">
        <v>137</v>
      </c>
      <c r="BL5" s="2"/>
      <c r="BM5" s="2">
        <v>2026</v>
      </c>
      <c r="BN5" s="2" t="s">
        <v>119</v>
      </c>
      <c r="BO5" s="2" t="s">
        <v>120</v>
      </c>
    </row>
    <row r="6" spans="1:67" x14ac:dyDescent="0.3">
      <c r="A6" s="2">
        <v>8536501900</v>
      </c>
      <c r="B6" s="2" t="s">
        <v>131</v>
      </c>
      <c r="C6" s="2" t="s">
        <v>92</v>
      </c>
      <c r="D6" s="2" t="s">
        <v>138</v>
      </c>
      <c r="E6" s="3">
        <v>46031</v>
      </c>
      <c r="F6" s="3">
        <v>46035</v>
      </c>
      <c r="G6" s="2" t="s">
        <v>94</v>
      </c>
      <c r="H6" s="2">
        <v>20392800434</v>
      </c>
      <c r="I6" s="2" t="s">
        <v>95</v>
      </c>
      <c r="J6" s="2"/>
      <c r="K6" s="2">
        <v>43.47</v>
      </c>
      <c r="L6" s="2">
        <v>40.479999999999997</v>
      </c>
      <c r="M6" s="2">
        <v>300</v>
      </c>
      <c r="N6" s="2" t="s">
        <v>96</v>
      </c>
      <c r="O6" s="2">
        <v>300</v>
      </c>
      <c r="P6" s="2" t="s">
        <v>96</v>
      </c>
      <c r="Q6" s="2">
        <v>384</v>
      </c>
      <c r="R6" s="2">
        <v>8.0399999999999991</v>
      </c>
      <c r="S6" s="2">
        <v>392.04</v>
      </c>
      <c r="T6" s="2">
        <v>0.64</v>
      </c>
      <c r="U6" s="2">
        <v>392.68</v>
      </c>
      <c r="V6" s="2">
        <v>1.28</v>
      </c>
      <c r="W6" s="2">
        <v>1.306</v>
      </c>
      <c r="X6" s="2">
        <v>1.3080000000000001</v>
      </c>
      <c r="Y6" s="2">
        <v>1.3080000000000001</v>
      </c>
      <c r="Z6" s="2">
        <v>1.28</v>
      </c>
      <c r="AA6" s="2">
        <v>1.306</v>
      </c>
      <c r="AB6" s="2">
        <v>1.3080000000000001</v>
      </c>
      <c r="AC6" s="2">
        <v>1.3080000000000001</v>
      </c>
      <c r="AD6" s="2" t="s">
        <v>97</v>
      </c>
      <c r="AE6" s="2" t="s">
        <v>98</v>
      </c>
      <c r="AF6" s="2" t="s">
        <v>99</v>
      </c>
      <c r="AG6" s="2" t="s">
        <v>100</v>
      </c>
      <c r="AH6" s="2" t="s">
        <v>101</v>
      </c>
      <c r="AI6" s="2" t="s">
        <v>102</v>
      </c>
      <c r="AJ6" s="2" t="s">
        <v>103</v>
      </c>
      <c r="AK6" s="2" t="s">
        <v>104</v>
      </c>
      <c r="AL6" s="2" t="s">
        <v>105</v>
      </c>
      <c r="AM6" s="2" t="s">
        <v>139</v>
      </c>
      <c r="AN6" s="2">
        <v>0</v>
      </c>
      <c r="AO6" s="2">
        <v>62.83</v>
      </c>
      <c r="AP6" s="2">
        <v>0</v>
      </c>
      <c r="AQ6" s="2">
        <v>7.85</v>
      </c>
      <c r="AR6" s="2">
        <v>0</v>
      </c>
      <c r="AS6" s="2">
        <v>0</v>
      </c>
      <c r="AT6" s="2">
        <v>0</v>
      </c>
      <c r="AU6" s="3">
        <v>46001</v>
      </c>
      <c r="AV6" s="2" t="s">
        <v>140</v>
      </c>
      <c r="AW6" s="2" t="s">
        <v>123</v>
      </c>
      <c r="AX6" s="2" t="s">
        <v>141</v>
      </c>
      <c r="AY6" s="2" t="s">
        <v>142</v>
      </c>
      <c r="AZ6" s="2" t="s">
        <v>111</v>
      </c>
      <c r="BA6" s="2" t="s">
        <v>112</v>
      </c>
      <c r="BB6" s="2" t="s">
        <v>113</v>
      </c>
      <c r="BC6" s="2" t="s">
        <v>114</v>
      </c>
      <c r="BD6" s="2" t="s">
        <v>115</v>
      </c>
      <c r="BE6" s="2" t="s">
        <v>362</v>
      </c>
      <c r="BF6" s="2" t="s">
        <v>116</v>
      </c>
      <c r="BG6" s="2" t="s">
        <v>117</v>
      </c>
      <c r="BH6" s="2" t="s">
        <v>124</v>
      </c>
      <c r="BI6" s="2"/>
      <c r="BJ6" s="2"/>
      <c r="BK6" s="2" t="s">
        <v>137</v>
      </c>
      <c r="BL6" s="2"/>
      <c r="BM6" s="2">
        <v>2026</v>
      </c>
      <c r="BN6" s="2" t="s">
        <v>119</v>
      </c>
      <c r="BO6" s="2" t="s">
        <v>120</v>
      </c>
    </row>
    <row r="7" spans="1:67" x14ac:dyDescent="0.3">
      <c r="A7" s="2">
        <v>8536501900</v>
      </c>
      <c r="B7" s="2" t="s">
        <v>131</v>
      </c>
      <c r="C7" s="2" t="s">
        <v>92</v>
      </c>
      <c r="D7" s="2" t="s">
        <v>143</v>
      </c>
      <c r="E7" s="3">
        <v>46031</v>
      </c>
      <c r="F7" s="3">
        <v>46035</v>
      </c>
      <c r="G7" s="2" t="s">
        <v>94</v>
      </c>
      <c r="H7" s="2">
        <v>20392800434</v>
      </c>
      <c r="I7" s="2" t="s">
        <v>95</v>
      </c>
      <c r="J7" s="2"/>
      <c r="K7" s="2">
        <v>189.09</v>
      </c>
      <c r="L7" s="2">
        <v>176.06</v>
      </c>
      <c r="M7" s="2">
        <v>2352</v>
      </c>
      <c r="N7" s="2" t="s">
        <v>96</v>
      </c>
      <c r="O7" s="2">
        <v>2352</v>
      </c>
      <c r="P7" s="2" t="s">
        <v>96</v>
      </c>
      <c r="Q7" s="2">
        <v>1669.92</v>
      </c>
      <c r="R7" s="2">
        <v>34.97</v>
      </c>
      <c r="S7" s="2">
        <v>1704.89</v>
      </c>
      <c r="T7" s="2">
        <v>2.81</v>
      </c>
      <c r="U7" s="2">
        <v>1707.7</v>
      </c>
      <c r="V7" s="2">
        <v>0.71</v>
      </c>
      <c r="W7" s="2">
        <v>0.72399999999999998</v>
      </c>
      <c r="X7" s="2">
        <v>0.72599999999999998</v>
      </c>
      <c r="Y7" s="2">
        <v>0.72599999999999998</v>
      </c>
      <c r="Z7" s="2">
        <v>0.71</v>
      </c>
      <c r="AA7" s="2">
        <v>0.72399999999999998</v>
      </c>
      <c r="AB7" s="2">
        <v>0.72599999999999998</v>
      </c>
      <c r="AC7" s="2">
        <v>0.72599999999999998</v>
      </c>
      <c r="AD7" s="2" t="s">
        <v>97</v>
      </c>
      <c r="AE7" s="2" t="s">
        <v>98</v>
      </c>
      <c r="AF7" s="2" t="s">
        <v>99</v>
      </c>
      <c r="AG7" s="2" t="s">
        <v>100</v>
      </c>
      <c r="AH7" s="2" t="s">
        <v>101</v>
      </c>
      <c r="AI7" s="2" t="s">
        <v>102</v>
      </c>
      <c r="AJ7" s="2" t="s">
        <v>103</v>
      </c>
      <c r="AK7" s="2" t="s">
        <v>104</v>
      </c>
      <c r="AL7" s="2" t="s">
        <v>105</v>
      </c>
      <c r="AM7" s="2" t="s">
        <v>144</v>
      </c>
      <c r="AN7" s="2">
        <v>0</v>
      </c>
      <c r="AO7" s="2">
        <v>273.23</v>
      </c>
      <c r="AP7" s="2">
        <v>0</v>
      </c>
      <c r="AQ7" s="2">
        <v>34.15</v>
      </c>
      <c r="AR7" s="2">
        <v>0</v>
      </c>
      <c r="AS7" s="2">
        <v>0</v>
      </c>
      <c r="AT7" s="2">
        <v>0</v>
      </c>
      <c r="AU7" s="3">
        <v>46001</v>
      </c>
      <c r="AV7" s="2" t="s">
        <v>145</v>
      </c>
      <c r="AW7" s="2" t="s">
        <v>108</v>
      </c>
      <c r="AX7" s="2" t="s">
        <v>146</v>
      </c>
      <c r="AY7" s="2" t="s">
        <v>147</v>
      </c>
      <c r="AZ7" s="2" t="s">
        <v>129</v>
      </c>
      <c r="BA7" s="2" t="s">
        <v>112</v>
      </c>
      <c r="BB7" s="2" t="s">
        <v>113</v>
      </c>
      <c r="BC7" s="2" t="s">
        <v>114</v>
      </c>
      <c r="BD7" s="2" t="s">
        <v>115</v>
      </c>
      <c r="BE7" s="2" t="s">
        <v>362</v>
      </c>
      <c r="BF7" s="2" t="s">
        <v>116</v>
      </c>
      <c r="BG7" s="2"/>
      <c r="BH7" s="2" t="s">
        <v>118</v>
      </c>
      <c r="BI7" s="2"/>
      <c r="BJ7" s="2"/>
      <c r="BK7" s="2" t="s">
        <v>148</v>
      </c>
      <c r="BL7" s="2"/>
      <c r="BM7" s="2">
        <v>2026</v>
      </c>
      <c r="BN7" s="2" t="s">
        <v>119</v>
      </c>
      <c r="BO7" s="2" t="s">
        <v>120</v>
      </c>
    </row>
    <row r="8" spans="1:67" x14ac:dyDescent="0.3">
      <c r="A8" s="2">
        <v>8536501900</v>
      </c>
      <c r="B8" s="2" t="s">
        <v>131</v>
      </c>
      <c r="C8" s="2" t="s">
        <v>92</v>
      </c>
      <c r="D8" s="2" t="s">
        <v>149</v>
      </c>
      <c r="E8" s="3">
        <v>46031</v>
      </c>
      <c r="F8" s="3">
        <v>46035</v>
      </c>
      <c r="G8" s="2" t="s">
        <v>94</v>
      </c>
      <c r="H8" s="2">
        <v>20392800434</v>
      </c>
      <c r="I8" s="2" t="s">
        <v>95</v>
      </c>
      <c r="J8" s="2"/>
      <c r="K8" s="2">
        <v>216.86</v>
      </c>
      <c r="L8" s="2">
        <v>201.92</v>
      </c>
      <c r="M8" s="2">
        <v>2016</v>
      </c>
      <c r="N8" s="2" t="s">
        <v>96</v>
      </c>
      <c r="O8" s="2">
        <v>2016</v>
      </c>
      <c r="P8" s="2" t="s">
        <v>96</v>
      </c>
      <c r="Q8" s="2">
        <v>1915.2</v>
      </c>
      <c r="R8" s="2">
        <v>40.1</v>
      </c>
      <c r="S8" s="2">
        <v>1955.3</v>
      </c>
      <c r="T8" s="2">
        <v>3.22</v>
      </c>
      <c r="U8" s="2">
        <v>1958.52</v>
      </c>
      <c r="V8" s="2">
        <v>0.95</v>
      </c>
      <c r="W8" s="2">
        <v>0.96899999999999997</v>
      </c>
      <c r="X8" s="2">
        <v>0.97099999999999997</v>
      </c>
      <c r="Y8" s="2">
        <v>0.97099999999999997</v>
      </c>
      <c r="Z8" s="2">
        <v>0.95</v>
      </c>
      <c r="AA8" s="2">
        <v>0.96899999999999997</v>
      </c>
      <c r="AB8" s="2">
        <v>0.97099999999999997</v>
      </c>
      <c r="AC8" s="2">
        <v>0.97099999999999997</v>
      </c>
      <c r="AD8" s="2" t="s">
        <v>97</v>
      </c>
      <c r="AE8" s="2" t="s">
        <v>98</v>
      </c>
      <c r="AF8" s="2" t="s">
        <v>99</v>
      </c>
      <c r="AG8" s="2" t="s">
        <v>100</v>
      </c>
      <c r="AH8" s="2" t="s">
        <v>101</v>
      </c>
      <c r="AI8" s="2" t="s">
        <v>102</v>
      </c>
      <c r="AJ8" s="2" t="s">
        <v>103</v>
      </c>
      <c r="AK8" s="2" t="s">
        <v>104</v>
      </c>
      <c r="AL8" s="2" t="s">
        <v>105</v>
      </c>
      <c r="AM8" s="2" t="s">
        <v>150</v>
      </c>
      <c r="AN8" s="2">
        <v>0</v>
      </c>
      <c r="AO8" s="2">
        <v>313.37</v>
      </c>
      <c r="AP8" s="2">
        <v>0</v>
      </c>
      <c r="AQ8" s="2">
        <v>39.17</v>
      </c>
      <c r="AR8" s="2">
        <v>0</v>
      </c>
      <c r="AS8" s="2">
        <v>0</v>
      </c>
      <c r="AT8" s="2">
        <v>0</v>
      </c>
      <c r="AU8" s="3">
        <v>46001</v>
      </c>
      <c r="AV8" s="2" t="s">
        <v>151</v>
      </c>
      <c r="AW8" s="2" t="s">
        <v>108</v>
      </c>
      <c r="AX8" s="2" t="s">
        <v>146</v>
      </c>
      <c r="AY8" s="2" t="s">
        <v>152</v>
      </c>
      <c r="AZ8" s="2" t="s">
        <v>129</v>
      </c>
      <c r="BA8" s="2" t="s">
        <v>112</v>
      </c>
      <c r="BB8" s="2" t="s">
        <v>113</v>
      </c>
      <c r="BC8" s="2" t="s">
        <v>114</v>
      </c>
      <c r="BD8" s="2" t="s">
        <v>115</v>
      </c>
      <c r="BE8" s="2" t="s">
        <v>363</v>
      </c>
      <c r="BF8" s="2" t="s">
        <v>116</v>
      </c>
      <c r="BG8" s="2"/>
      <c r="BH8" s="2" t="s">
        <v>118</v>
      </c>
      <c r="BI8" s="2"/>
      <c r="BJ8" s="2"/>
      <c r="BK8" s="2" t="s">
        <v>153</v>
      </c>
      <c r="BL8" s="2"/>
      <c r="BM8" s="2">
        <v>2026</v>
      </c>
      <c r="BN8" s="2" t="s">
        <v>119</v>
      </c>
      <c r="BO8" s="2" t="s">
        <v>120</v>
      </c>
    </row>
    <row r="9" spans="1:67" x14ac:dyDescent="0.3">
      <c r="A9" s="2">
        <v>8536501900</v>
      </c>
      <c r="B9" s="2" t="s">
        <v>131</v>
      </c>
      <c r="C9" s="2" t="s">
        <v>92</v>
      </c>
      <c r="D9" s="2" t="s">
        <v>154</v>
      </c>
      <c r="E9" s="3">
        <v>46031</v>
      </c>
      <c r="F9" s="3">
        <v>46035</v>
      </c>
      <c r="G9" s="2" t="s">
        <v>94</v>
      </c>
      <c r="H9" s="2">
        <v>20392800434</v>
      </c>
      <c r="I9" s="2" t="s">
        <v>95</v>
      </c>
      <c r="J9" s="2"/>
      <c r="K9" s="2">
        <v>111.28</v>
      </c>
      <c r="L9" s="2">
        <v>103.62</v>
      </c>
      <c r="M9" s="2">
        <v>840</v>
      </c>
      <c r="N9" s="2" t="s">
        <v>96</v>
      </c>
      <c r="O9" s="2">
        <v>840</v>
      </c>
      <c r="P9" s="2" t="s">
        <v>96</v>
      </c>
      <c r="Q9" s="2">
        <v>982.8</v>
      </c>
      <c r="R9" s="2">
        <v>20.58</v>
      </c>
      <c r="S9" s="2">
        <v>1003.38</v>
      </c>
      <c r="T9" s="2">
        <v>1.65</v>
      </c>
      <c r="U9" s="2">
        <v>1005.03</v>
      </c>
      <c r="V9" s="2">
        <v>1.17</v>
      </c>
      <c r="W9" s="2">
        <v>1.194</v>
      </c>
      <c r="X9" s="2">
        <v>1.196</v>
      </c>
      <c r="Y9" s="2">
        <v>1.196</v>
      </c>
      <c r="Z9" s="2">
        <v>1.17</v>
      </c>
      <c r="AA9" s="2">
        <v>1.194</v>
      </c>
      <c r="AB9" s="2">
        <v>1.196</v>
      </c>
      <c r="AC9" s="2">
        <v>1.196</v>
      </c>
      <c r="AD9" s="2" t="s">
        <v>97</v>
      </c>
      <c r="AE9" s="2" t="s">
        <v>98</v>
      </c>
      <c r="AF9" s="2" t="s">
        <v>99</v>
      </c>
      <c r="AG9" s="2" t="s">
        <v>100</v>
      </c>
      <c r="AH9" s="2" t="s">
        <v>101</v>
      </c>
      <c r="AI9" s="2" t="s">
        <v>102</v>
      </c>
      <c r="AJ9" s="2" t="s">
        <v>103</v>
      </c>
      <c r="AK9" s="2" t="s">
        <v>104</v>
      </c>
      <c r="AL9" s="2" t="s">
        <v>105</v>
      </c>
      <c r="AM9" s="2" t="s">
        <v>155</v>
      </c>
      <c r="AN9" s="2">
        <v>0</v>
      </c>
      <c r="AO9" s="2">
        <v>160.81</v>
      </c>
      <c r="AP9" s="2">
        <v>0</v>
      </c>
      <c r="AQ9" s="2">
        <v>20.100000000000001</v>
      </c>
      <c r="AR9" s="2">
        <v>0</v>
      </c>
      <c r="AS9" s="2">
        <v>0</v>
      </c>
      <c r="AT9" s="2">
        <v>0</v>
      </c>
      <c r="AU9" s="3">
        <v>46001</v>
      </c>
      <c r="AV9" s="2" t="s">
        <v>156</v>
      </c>
      <c r="AW9" s="2" t="s">
        <v>108</v>
      </c>
      <c r="AX9" s="2" t="s">
        <v>146</v>
      </c>
      <c r="AY9" s="2" t="s">
        <v>157</v>
      </c>
      <c r="AZ9" s="2" t="s">
        <v>129</v>
      </c>
      <c r="BA9" s="2" t="s">
        <v>112</v>
      </c>
      <c r="BB9" s="2" t="s">
        <v>113</v>
      </c>
      <c r="BC9" s="2" t="s">
        <v>114</v>
      </c>
      <c r="BD9" s="2" t="s">
        <v>115</v>
      </c>
      <c r="BE9" s="2" t="s">
        <v>364</v>
      </c>
      <c r="BF9" s="2" t="s">
        <v>116</v>
      </c>
      <c r="BG9" s="2"/>
      <c r="BH9" s="2" t="s">
        <v>118</v>
      </c>
      <c r="BI9" s="2"/>
      <c r="BJ9" s="2"/>
      <c r="BK9" s="2" t="s">
        <v>158</v>
      </c>
      <c r="BL9" s="2"/>
      <c r="BM9" s="2">
        <v>2026</v>
      </c>
      <c r="BN9" s="2" t="s">
        <v>119</v>
      </c>
      <c r="BO9" s="2" t="s">
        <v>120</v>
      </c>
    </row>
    <row r="10" spans="1:67" x14ac:dyDescent="0.3">
      <c r="A10" s="2">
        <v>8536501900</v>
      </c>
      <c r="B10" s="2" t="s">
        <v>131</v>
      </c>
      <c r="C10" s="2" t="s">
        <v>92</v>
      </c>
      <c r="D10" s="2" t="s">
        <v>159</v>
      </c>
      <c r="E10" s="3">
        <v>46031</v>
      </c>
      <c r="F10" s="3">
        <v>46035</v>
      </c>
      <c r="G10" s="2" t="s">
        <v>94</v>
      </c>
      <c r="H10" s="2">
        <v>20392800434</v>
      </c>
      <c r="I10" s="2" t="s">
        <v>95</v>
      </c>
      <c r="J10" s="2"/>
      <c r="K10" s="2">
        <v>84.46</v>
      </c>
      <c r="L10" s="2">
        <v>78.64</v>
      </c>
      <c r="M10" s="2">
        <v>1008</v>
      </c>
      <c r="N10" s="2" t="s">
        <v>96</v>
      </c>
      <c r="O10" s="2">
        <v>1008</v>
      </c>
      <c r="P10" s="2" t="s">
        <v>96</v>
      </c>
      <c r="Q10" s="2">
        <v>745.92</v>
      </c>
      <c r="R10" s="2">
        <v>15.62</v>
      </c>
      <c r="S10" s="2">
        <v>761.54</v>
      </c>
      <c r="T10" s="2">
        <v>1.25</v>
      </c>
      <c r="U10" s="2">
        <v>762.79</v>
      </c>
      <c r="V10" s="2">
        <v>0.74</v>
      </c>
      <c r="W10" s="2">
        <v>0.755</v>
      </c>
      <c r="X10" s="2">
        <v>0.75600000000000001</v>
      </c>
      <c r="Y10" s="2">
        <v>0.75600000000000001</v>
      </c>
      <c r="Z10" s="2">
        <v>0.74</v>
      </c>
      <c r="AA10" s="2">
        <v>0.755</v>
      </c>
      <c r="AB10" s="2">
        <v>0.75600000000000001</v>
      </c>
      <c r="AC10" s="2">
        <v>0.75600000000000001</v>
      </c>
      <c r="AD10" s="2" t="s">
        <v>97</v>
      </c>
      <c r="AE10" s="2" t="s">
        <v>98</v>
      </c>
      <c r="AF10" s="2" t="s">
        <v>99</v>
      </c>
      <c r="AG10" s="2" t="s">
        <v>100</v>
      </c>
      <c r="AH10" s="2" t="s">
        <v>101</v>
      </c>
      <c r="AI10" s="2" t="s">
        <v>102</v>
      </c>
      <c r="AJ10" s="2" t="s">
        <v>103</v>
      </c>
      <c r="AK10" s="2" t="s">
        <v>104</v>
      </c>
      <c r="AL10" s="2" t="s">
        <v>105</v>
      </c>
      <c r="AM10" s="2" t="s">
        <v>160</v>
      </c>
      <c r="AN10" s="2">
        <v>0</v>
      </c>
      <c r="AO10" s="2">
        <v>122.05</v>
      </c>
      <c r="AP10" s="2">
        <v>0</v>
      </c>
      <c r="AQ10" s="2">
        <v>15.26</v>
      </c>
      <c r="AR10" s="2">
        <v>0</v>
      </c>
      <c r="AS10" s="2">
        <v>0</v>
      </c>
      <c r="AT10" s="2">
        <v>0</v>
      </c>
      <c r="AU10" s="3">
        <v>46001</v>
      </c>
      <c r="AV10" s="2" t="s">
        <v>161</v>
      </c>
      <c r="AW10" s="2" t="s">
        <v>108</v>
      </c>
      <c r="AX10" s="2" t="s">
        <v>146</v>
      </c>
      <c r="AY10" s="2" t="s">
        <v>162</v>
      </c>
      <c r="AZ10" s="2" t="s">
        <v>129</v>
      </c>
      <c r="BA10" s="2" t="s">
        <v>112</v>
      </c>
      <c r="BB10" s="2" t="s">
        <v>113</v>
      </c>
      <c r="BC10" s="2" t="s">
        <v>114</v>
      </c>
      <c r="BD10" s="2" t="s">
        <v>115</v>
      </c>
      <c r="BE10" s="2" t="s">
        <v>362</v>
      </c>
      <c r="BF10" s="2" t="s">
        <v>116</v>
      </c>
      <c r="BG10" s="2"/>
      <c r="BH10" s="2" t="s">
        <v>118</v>
      </c>
      <c r="BI10" s="2"/>
      <c r="BJ10" s="2"/>
      <c r="BK10" s="2"/>
      <c r="BL10" s="2"/>
      <c r="BM10" s="2">
        <v>2026</v>
      </c>
      <c r="BN10" s="2" t="s">
        <v>119</v>
      </c>
      <c r="BO10" s="2" t="s">
        <v>120</v>
      </c>
    </row>
    <row r="11" spans="1:67" x14ac:dyDescent="0.3">
      <c r="A11" s="2">
        <v>8536501900</v>
      </c>
      <c r="B11" s="2" t="s">
        <v>131</v>
      </c>
      <c r="C11" s="2" t="s">
        <v>92</v>
      </c>
      <c r="D11" s="2" t="s">
        <v>163</v>
      </c>
      <c r="E11" s="3">
        <v>46031</v>
      </c>
      <c r="F11" s="3">
        <v>46035</v>
      </c>
      <c r="G11" s="2" t="s">
        <v>94</v>
      </c>
      <c r="H11" s="2">
        <v>20392800434</v>
      </c>
      <c r="I11" s="2" t="s">
        <v>95</v>
      </c>
      <c r="J11" s="2"/>
      <c r="K11" s="2">
        <v>349.26</v>
      </c>
      <c r="L11" s="2">
        <v>325.20999999999998</v>
      </c>
      <c r="M11" s="2">
        <v>3024</v>
      </c>
      <c r="N11" s="2" t="s">
        <v>96</v>
      </c>
      <c r="O11" s="2">
        <v>3024</v>
      </c>
      <c r="P11" s="2" t="s">
        <v>96</v>
      </c>
      <c r="Q11" s="2">
        <v>3084.48</v>
      </c>
      <c r="R11" s="2">
        <v>64.59</v>
      </c>
      <c r="S11" s="2">
        <v>3149.07</v>
      </c>
      <c r="T11" s="2">
        <v>5.19</v>
      </c>
      <c r="U11" s="2">
        <v>3154.26</v>
      </c>
      <c r="V11" s="2">
        <v>1.02</v>
      </c>
      <c r="W11" s="2">
        <v>1.0409999999999999</v>
      </c>
      <c r="X11" s="2">
        <v>1.0429999999999999</v>
      </c>
      <c r="Y11" s="2">
        <v>1.0429999999999999</v>
      </c>
      <c r="Z11" s="2">
        <v>1.02</v>
      </c>
      <c r="AA11" s="2">
        <v>1.0409999999999999</v>
      </c>
      <c r="AB11" s="2">
        <v>1.0429999999999999</v>
      </c>
      <c r="AC11" s="2">
        <v>1.0429999999999999</v>
      </c>
      <c r="AD11" s="2" t="s">
        <v>97</v>
      </c>
      <c r="AE11" s="2" t="s">
        <v>98</v>
      </c>
      <c r="AF11" s="2" t="s">
        <v>99</v>
      </c>
      <c r="AG11" s="2" t="s">
        <v>100</v>
      </c>
      <c r="AH11" s="2" t="s">
        <v>101</v>
      </c>
      <c r="AI11" s="2" t="s">
        <v>102</v>
      </c>
      <c r="AJ11" s="2" t="s">
        <v>103</v>
      </c>
      <c r="AK11" s="2" t="s">
        <v>104</v>
      </c>
      <c r="AL11" s="2" t="s">
        <v>105</v>
      </c>
      <c r="AM11" s="2" t="s">
        <v>164</v>
      </c>
      <c r="AN11" s="2">
        <v>0</v>
      </c>
      <c r="AO11" s="2">
        <v>504.68</v>
      </c>
      <c r="AP11" s="2">
        <v>0</v>
      </c>
      <c r="AQ11" s="2">
        <v>63.09</v>
      </c>
      <c r="AR11" s="2">
        <v>0</v>
      </c>
      <c r="AS11" s="2">
        <v>0</v>
      </c>
      <c r="AT11" s="2">
        <v>0</v>
      </c>
      <c r="AU11" s="3">
        <v>46001</v>
      </c>
      <c r="AV11" s="2" t="s">
        <v>165</v>
      </c>
      <c r="AW11" s="2" t="s">
        <v>108</v>
      </c>
      <c r="AX11" s="2" t="s">
        <v>146</v>
      </c>
      <c r="AY11" s="2" t="s">
        <v>166</v>
      </c>
      <c r="AZ11" s="2" t="s">
        <v>129</v>
      </c>
      <c r="BA11" s="2" t="s">
        <v>112</v>
      </c>
      <c r="BB11" s="2" t="s">
        <v>113</v>
      </c>
      <c r="BC11" s="2" t="s">
        <v>114</v>
      </c>
      <c r="BD11" s="2" t="s">
        <v>115</v>
      </c>
      <c r="BE11" s="2" t="s">
        <v>362</v>
      </c>
      <c r="BF11" s="2" t="s">
        <v>116</v>
      </c>
      <c r="BG11" s="2"/>
      <c r="BH11" s="2" t="s">
        <v>118</v>
      </c>
      <c r="BI11" s="2"/>
      <c r="BJ11" s="2"/>
      <c r="BK11" s="2"/>
      <c r="BL11" s="2"/>
      <c r="BM11" s="2">
        <v>2026</v>
      </c>
      <c r="BN11" s="2" t="s">
        <v>119</v>
      </c>
      <c r="BO11" s="2" t="s">
        <v>120</v>
      </c>
    </row>
    <row r="12" spans="1:67" x14ac:dyDescent="0.3">
      <c r="A12" s="2">
        <v>8536501900</v>
      </c>
      <c r="B12" s="2" t="s">
        <v>131</v>
      </c>
      <c r="C12" s="2" t="s">
        <v>92</v>
      </c>
      <c r="D12" s="2" t="s">
        <v>167</v>
      </c>
      <c r="E12" s="3">
        <v>46031</v>
      </c>
      <c r="F12" s="3">
        <v>46035</v>
      </c>
      <c r="G12" s="2" t="s">
        <v>94</v>
      </c>
      <c r="H12" s="2">
        <v>20392800434</v>
      </c>
      <c r="I12" s="2" t="s">
        <v>95</v>
      </c>
      <c r="J12" s="2"/>
      <c r="K12" s="2">
        <v>76.47</v>
      </c>
      <c r="L12" s="2">
        <v>71.2</v>
      </c>
      <c r="M12" s="2">
        <v>504</v>
      </c>
      <c r="N12" s="2" t="s">
        <v>96</v>
      </c>
      <c r="O12" s="2">
        <v>504</v>
      </c>
      <c r="P12" s="2" t="s">
        <v>96</v>
      </c>
      <c r="Q12" s="2">
        <v>675.36</v>
      </c>
      <c r="R12" s="2">
        <v>14.14</v>
      </c>
      <c r="S12" s="2">
        <v>689.5</v>
      </c>
      <c r="T12" s="2">
        <v>1.1299999999999999</v>
      </c>
      <c r="U12" s="2">
        <v>690.63</v>
      </c>
      <c r="V12" s="2">
        <v>1.34</v>
      </c>
      <c r="W12" s="2">
        <v>1.3680000000000001</v>
      </c>
      <c r="X12" s="2">
        <v>1.37</v>
      </c>
      <c r="Y12" s="2">
        <v>1.37</v>
      </c>
      <c r="Z12" s="2">
        <v>1.34</v>
      </c>
      <c r="AA12" s="2">
        <v>1.3680000000000001</v>
      </c>
      <c r="AB12" s="2">
        <v>1.37</v>
      </c>
      <c r="AC12" s="2">
        <v>1.37</v>
      </c>
      <c r="AD12" s="2" t="s">
        <v>97</v>
      </c>
      <c r="AE12" s="2" t="s">
        <v>98</v>
      </c>
      <c r="AF12" s="2" t="s">
        <v>99</v>
      </c>
      <c r="AG12" s="2" t="s">
        <v>100</v>
      </c>
      <c r="AH12" s="2" t="s">
        <v>101</v>
      </c>
      <c r="AI12" s="2" t="s">
        <v>102</v>
      </c>
      <c r="AJ12" s="2" t="s">
        <v>103</v>
      </c>
      <c r="AK12" s="2" t="s">
        <v>104</v>
      </c>
      <c r="AL12" s="2" t="s">
        <v>105</v>
      </c>
      <c r="AM12" s="2" t="s">
        <v>168</v>
      </c>
      <c r="AN12" s="2">
        <v>0</v>
      </c>
      <c r="AO12" s="2">
        <v>110.5</v>
      </c>
      <c r="AP12" s="2">
        <v>0</v>
      </c>
      <c r="AQ12" s="2">
        <v>13.81</v>
      </c>
      <c r="AR12" s="2">
        <v>0</v>
      </c>
      <c r="AS12" s="2">
        <v>0</v>
      </c>
      <c r="AT12" s="2">
        <v>0</v>
      </c>
      <c r="AU12" s="3">
        <v>46001</v>
      </c>
      <c r="AV12" s="2" t="s">
        <v>169</v>
      </c>
      <c r="AW12" s="2" t="s">
        <v>108</v>
      </c>
      <c r="AX12" s="2" t="s">
        <v>146</v>
      </c>
      <c r="AY12" s="2" t="s">
        <v>170</v>
      </c>
      <c r="AZ12" s="2" t="s">
        <v>129</v>
      </c>
      <c r="BA12" s="2" t="s">
        <v>112</v>
      </c>
      <c r="BB12" s="2" t="s">
        <v>113</v>
      </c>
      <c r="BC12" s="2" t="s">
        <v>114</v>
      </c>
      <c r="BD12" s="2" t="s">
        <v>115</v>
      </c>
      <c r="BE12" s="2" t="s">
        <v>364</v>
      </c>
      <c r="BF12" s="2" t="s">
        <v>116</v>
      </c>
      <c r="BG12" s="2"/>
      <c r="BH12" s="2" t="s">
        <v>118</v>
      </c>
      <c r="BI12" s="2"/>
      <c r="BJ12" s="2"/>
      <c r="BK12" s="2"/>
      <c r="BL12" s="2"/>
      <c r="BM12" s="2">
        <v>2026</v>
      </c>
      <c r="BN12" s="2" t="s">
        <v>119</v>
      </c>
      <c r="BO12" s="2" t="s">
        <v>120</v>
      </c>
    </row>
    <row r="13" spans="1:67" x14ac:dyDescent="0.3">
      <c r="A13" s="2">
        <v>8536501900</v>
      </c>
      <c r="B13" s="2" t="s">
        <v>131</v>
      </c>
      <c r="C13" s="2" t="s">
        <v>92</v>
      </c>
      <c r="D13" s="2" t="s">
        <v>171</v>
      </c>
      <c r="E13" s="3">
        <v>46031</v>
      </c>
      <c r="F13" s="3">
        <v>46035</v>
      </c>
      <c r="G13" s="2" t="s">
        <v>94</v>
      </c>
      <c r="H13" s="2">
        <v>20392800434</v>
      </c>
      <c r="I13" s="2" t="s">
        <v>95</v>
      </c>
      <c r="J13" s="2"/>
      <c r="K13" s="2">
        <v>14.49</v>
      </c>
      <c r="L13" s="2">
        <v>13.49</v>
      </c>
      <c r="M13" s="2">
        <v>100</v>
      </c>
      <c r="N13" s="2" t="s">
        <v>96</v>
      </c>
      <c r="O13" s="2">
        <v>100</v>
      </c>
      <c r="P13" s="2" t="s">
        <v>96</v>
      </c>
      <c r="Q13" s="2">
        <v>128</v>
      </c>
      <c r="R13" s="2">
        <v>2.68</v>
      </c>
      <c r="S13" s="2">
        <v>130.68</v>
      </c>
      <c r="T13" s="2">
        <v>0.21</v>
      </c>
      <c r="U13" s="2">
        <v>130.88999999999999</v>
      </c>
      <c r="V13" s="2">
        <v>1.28</v>
      </c>
      <c r="W13" s="2">
        <v>1.306</v>
      </c>
      <c r="X13" s="2">
        <v>1.3080000000000001</v>
      </c>
      <c r="Y13" s="2">
        <v>1.3080000000000001</v>
      </c>
      <c r="Z13" s="2">
        <v>1.28</v>
      </c>
      <c r="AA13" s="2">
        <v>1.306</v>
      </c>
      <c r="AB13" s="2">
        <v>1.3080000000000001</v>
      </c>
      <c r="AC13" s="2">
        <v>1.3080000000000001</v>
      </c>
      <c r="AD13" s="2" t="s">
        <v>97</v>
      </c>
      <c r="AE13" s="2" t="s">
        <v>98</v>
      </c>
      <c r="AF13" s="2" t="s">
        <v>99</v>
      </c>
      <c r="AG13" s="2" t="s">
        <v>100</v>
      </c>
      <c r="AH13" s="2" t="s">
        <v>101</v>
      </c>
      <c r="AI13" s="2" t="s">
        <v>102</v>
      </c>
      <c r="AJ13" s="2" t="s">
        <v>103</v>
      </c>
      <c r="AK13" s="2" t="s">
        <v>104</v>
      </c>
      <c r="AL13" s="2" t="s">
        <v>105</v>
      </c>
      <c r="AM13" s="2" t="s">
        <v>172</v>
      </c>
      <c r="AN13" s="2">
        <v>0</v>
      </c>
      <c r="AO13" s="2">
        <v>20.94</v>
      </c>
      <c r="AP13" s="2">
        <v>0</v>
      </c>
      <c r="AQ13" s="2">
        <v>2.62</v>
      </c>
      <c r="AR13" s="2">
        <v>0</v>
      </c>
      <c r="AS13" s="2">
        <v>0</v>
      </c>
      <c r="AT13" s="2">
        <v>0</v>
      </c>
      <c r="AU13" s="3">
        <v>46001</v>
      </c>
      <c r="AV13" s="2" t="s">
        <v>173</v>
      </c>
      <c r="AW13" s="2" t="s">
        <v>123</v>
      </c>
      <c r="AX13" s="2" t="s">
        <v>174</v>
      </c>
      <c r="AY13" s="2" t="s">
        <v>175</v>
      </c>
      <c r="AZ13" s="2" t="s">
        <v>111</v>
      </c>
      <c r="BA13" s="2" t="s">
        <v>112</v>
      </c>
      <c r="BB13" s="2" t="s">
        <v>113</v>
      </c>
      <c r="BC13" s="2" t="s">
        <v>114</v>
      </c>
      <c r="BD13" s="2" t="s">
        <v>115</v>
      </c>
      <c r="BE13" s="2" t="s">
        <v>363</v>
      </c>
      <c r="BF13" s="2" t="s">
        <v>116</v>
      </c>
      <c r="BG13" s="2"/>
      <c r="BH13" s="2" t="s">
        <v>124</v>
      </c>
      <c r="BI13" s="2"/>
      <c r="BJ13" s="2"/>
      <c r="BK13" s="2"/>
      <c r="BL13" s="2"/>
      <c r="BM13" s="2">
        <v>2026</v>
      </c>
      <c r="BN13" s="2" t="s">
        <v>119</v>
      </c>
      <c r="BO13" s="2" t="s">
        <v>120</v>
      </c>
    </row>
    <row r="14" spans="1:67" x14ac:dyDescent="0.3">
      <c r="A14" s="2">
        <v>8536501900</v>
      </c>
      <c r="B14" s="2" t="s">
        <v>131</v>
      </c>
      <c r="C14" s="2" t="s">
        <v>92</v>
      </c>
      <c r="D14" s="2" t="s">
        <v>176</v>
      </c>
      <c r="E14" s="3">
        <v>46031</v>
      </c>
      <c r="F14" s="3">
        <v>46035</v>
      </c>
      <c r="G14" s="2" t="s">
        <v>94</v>
      </c>
      <c r="H14" s="2">
        <v>20392800434</v>
      </c>
      <c r="I14" s="2" t="s">
        <v>95</v>
      </c>
      <c r="J14" s="2"/>
      <c r="K14" s="2">
        <v>50.95</v>
      </c>
      <c r="L14" s="2">
        <v>47.44</v>
      </c>
      <c r="M14" s="2">
        <v>500</v>
      </c>
      <c r="N14" s="2" t="s">
        <v>96</v>
      </c>
      <c r="O14" s="2">
        <v>500</v>
      </c>
      <c r="P14" s="2" t="s">
        <v>96</v>
      </c>
      <c r="Q14" s="2">
        <v>450</v>
      </c>
      <c r="R14" s="2">
        <v>9.42</v>
      </c>
      <c r="S14" s="2">
        <v>459.42</v>
      </c>
      <c r="T14" s="2">
        <v>0.75</v>
      </c>
      <c r="U14" s="2">
        <v>460.17</v>
      </c>
      <c r="V14" s="2">
        <v>0.9</v>
      </c>
      <c r="W14" s="2">
        <v>0.91800000000000004</v>
      </c>
      <c r="X14" s="2">
        <v>0.92</v>
      </c>
      <c r="Y14" s="2">
        <v>0.92</v>
      </c>
      <c r="Z14" s="2">
        <v>0.9</v>
      </c>
      <c r="AA14" s="2">
        <v>0.91800000000000004</v>
      </c>
      <c r="AB14" s="2">
        <v>0.92</v>
      </c>
      <c r="AC14" s="2">
        <v>0.92</v>
      </c>
      <c r="AD14" s="2" t="s">
        <v>97</v>
      </c>
      <c r="AE14" s="2" t="s">
        <v>98</v>
      </c>
      <c r="AF14" s="2" t="s">
        <v>99</v>
      </c>
      <c r="AG14" s="2" t="s">
        <v>100</v>
      </c>
      <c r="AH14" s="2" t="s">
        <v>101</v>
      </c>
      <c r="AI14" s="2" t="s">
        <v>102</v>
      </c>
      <c r="AJ14" s="2" t="s">
        <v>103</v>
      </c>
      <c r="AK14" s="2" t="s">
        <v>104</v>
      </c>
      <c r="AL14" s="2" t="s">
        <v>105</v>
      </c>
      <c r="AM14" s="2" t="s">
        <v>177</v>
      </c>
      <c r="AN14" s="2">
        <v>0</v>
      </c>
      <c r="AO14" s="2">
        <v>73.63</v>
      </c>
      <c r="AP14" s="2">
        <v>0</v>
      </c>
      <c r="AQ14" s="2">
        <v>9.1999999999999993</v>
      </c>
      <c r="AR14" s="2">
        <v>0</v>
      </c>
      <c r="AS14" s="2">
        <v>0</v>
      </c>
      <c r="AT14" s="2">
        <v>0</v>
      </c>
      <c r="AU14" s="3">
        <v>46001</v>
      </c>
      <c r="AV14" s="2" t="s">
        <v>178</v>
      </c>
      <c r="AW14" s="2" t="s">
        <v>123</v>
      </c>
      <c r="AX14" s="2" t="s">
        <v>146</v>
      </c>
      <c r="AY14" s="2" t="s">
        <v>179</v>
      </c>
      <c r="AZ14" s="2" t="s">
        <v>111</v>
      </c>
      <c r="BA14" s="2" t="s">
        <v>112</v>
      </c>
      <c r="BB14" s="2" t="s">
        <v>113</v>
      </c>
      <c r="BC14" s="2" t="s">
        <v>114</v>
      </c>
      <c r="BD14" s="2" t="s">
        <v>115</v>
      </c>
      <c r="BE14" s="2" t="s">
        <v>362</v>
      </c>
      <c r="BF14" s="2" t="s">
        <v>116</v>
      </c>
      <c r="BG14" s="2" t="s">
        <v>117</v>
      </c>
      <c r="BH14" s="2" t="s">
        <v>124</v>
      </c>
      <c r="BI14" s="2"/>
      <c r="BJ14" s="2"/>
      <c r="BK14" s="2"/>
      <c r="BL14" s="2"/>
      <c r="BM14" s="2">
        <v>2026</v>
      </c>
      <c r="BN14" s="2" t="s">
        <v>119</v>
      </c>
      <c r="BO14" s="2" t="s">
        <v>120</v>
      </c>
    </row>
    <row r="15" spans="1:67" x14ac:dyDescent="0.3">
      <c r="A15" s="2">
        <v>8536501900</v>
      </c>
      <c r="B15" s="2" t="s">
        <v>131</v>
      </c>
      <c r="C15" s="2" t="s">
        <v>92</v>
      </c>
      <c r="D15" s="2" t="s">
        <v>180</v>
      </c>
      <c r="E15" s="3">
        <v>46031</v>
      </c>
      <c r="F15" s="3">
        <v>46035</v>
      </c>
      <c r="G15" s="2" t="s">
        <v>94</v>
      </c>
      <c r="H15" s="2">
        <v>20392800434</v>
      </c>
      <c r="I15" s="2" t="s">
        <v>95</v>
      </c>
      <c r="J15" s="2"/>
      <c r="K15" s="2">
        <v>40.08</v>
      </c>
      <c r="L15" s="2">
        <v>37.32</v>
      </c>
      <c r="M15" s="2">
        <v>300</v>
      </c>
      <c r="N15" s="2" t="s">
        <v>96</v>
      </c>
      <c r="O15" s="2">
        <v>300</v>
      </c>
      <c r="P15" s="2" t="s">
        <v>96</v>
      </c>
      <c r="Q15" s="2">
        <v>354</v>
      </c>
      <c r="R15" s="2">
        <v>7.41</v>
      </c>
      <c r="S15" s="2">
        <v>361.41</v>
      </c>
      <c r="T15" s="2">
        <v>0.59</v>
      </c>
      <c r="U15" s="2">
        <v>362</v>
      </c>
      <c r="V15" s="2">
        <v>1.18</v>
      </c>
      <c r="W15" s="2">
        <v>1.204</v>
      </c>
      <c r="X15" s="2">
        <v>1.206</v>
      </c>
      <c r="Y15" s="2">
        <v>1.206</v>
      </c>
      <c r="Z15" s="2">
        <v>1.18</v>
      </c>
      <c r="AA15" s="2">
        <v>1.204</v>
      </c>
      <c r="AB15" s="2">
        <v>1.206</v>
      </c>
      <c r="AC15" s="2">
        <v>1.206</v>
      </c>
      <c r="AD15" s="2" t="s">
        <v>97</v>
      </c>
      <c r="AE15" s="2" t="s">
        <v>98</v>
      </c>
      <c r="AF15" s="2" t="s">
        <v>99</v>
      </c>
      <c r="AG15" s="2" t="s">
        <v>100</v>
      </c>
      <c r="AH15" s="2" t="s">
        <v>101</v>
      </c>
      <c r="AI15" s="2" t="s">
        <v>102</v>
      </c>
      <c r="AJ15" s="2" t="s">
        <v>103</v>
      </c>
      <c r="AK15" s="2" t="s">
        <v>104</v>
      </c>
      <c r="AL15" s="2" t="s">
        <v>105</v>
      </c>
      <c r="AM15" s="2" t="s">
        <v>181</v>
      </c>
      <c r="AN15" s="2">
        <v>0</v>
      </c>
      <c r="AO15" s="2">
        <v>57.92</v>
      </c>
      <c r="AP15" s="2">
        <v>0</v>
      </c>
      <c r="AQ15" s="2">
        <v>7.24</v>
      </c>
      <c r="AR15" s="2">
        <v>0</v>
      </c>
      <c r="AS15" s="2">
        <v>0</v>
      </c>
      <c r="AT15" s="2">
        <v>0</v>
      </c>
      <c r="AU15" s="3">
        <v>46001</v>
      </c>
      <c r="AV15" s="2" t="s">
        <v>182</v>
      </c>
      <c r="AW15" s="2" t="s">
        <v>123</v>
      </c>
      <c r="AX15" s="2" t="s">
        <v>146</v>
      </c>
      <c r="AY15" s="2" t="s">
        <v>183</v>
      </c>
      <c r="AZ15" s="2" t="s">
        <v>111</v>
      </c>
      <c r="BA15" s="2" t="s">
        <v>112</v>
      </c>
      <c r="BB15" s="2" t="s">
        <v>113</v>
      </c>
      <c r="BC15" s="2" t="s">
        <v>114</v>
      </c>
      <c r="BD15" s="2" t="s">
        <v>115</v>
      </c>
      <c r="BE15" s="2" t="s">
        <v>363</v>
      </c>
      <c r="BF15" s="2" t="s">
        <v>116</v>
      </c>
      <c r="BG15" s="2" t="s">
        <v>117</v>
      </c>
      <c r="BH15" s="2" t="s">
        <v>124</v>
      </c>
      <c r="BI15" s="2"/>
      <c r="BJ15" s="2"/>
      <c r="BK15" s="2" t="s">
        <v>153</v>
      </c>
      <c r="BL15" s="2"/>
      <c r="BM15" s="2">
        <v>2026</v>
      </c>
      <c r="BN15" s="2" t="s">
        <v>119</v>
      </c>
      <c r="BO15" s="2" t="s">
        <v>120</v>
      </c>
    </row>
    <row r="16" spans="1:67" x14ac:dyDescent="0.3">
      <c r="A16" s="2">
        <v>8536501900</v>
      </c>
      <c r="B16" s="2" t="s">
        <v>131</v>
      </c>
      <c r="C16" s="2" t="s">
        <v>92</v>
      </c>
      <c r="D16" s="2" t="s">
        <v>184</v>
      </c>
      <c r="E16" s="3">
        <v>46031</v>
      </c>
      <c r="F16" s="3">
        <v>46035</v>
      </c>
      <c r="G16" s="2" t="s">
        <v>94</v>
      </c>
      <c r="H16" s="2">
        <v>20392800434</v>
      </c>
      <c r="I16" s="2" t="s">
        <v>95</v>
      </c>
      <c r="J16" s="2"/>
      <c r="K16" s="2">
        <v>17.32</v>
      </c>
      <c r="L16" s="2">
        <v>16.13</v>
      </c>
      <c r="M16" s="2">
        <v>100</v>
      </c>
      <c r="N16" s="2" t="s">
        <v>96</v>
      </c>
      <c r="O16" s="2">
        <v>100</v>
      </c>
      <c r="P16" s="2" t="s">
        <v>96</v>
      </c>
      <c r="Q16" s="2">
        <v>153</v>
      </c>
      <c r="R16" s="2">
        <v>3.2</v>
      </c>
      <c r="S16" s="2">
        <v>156.19999999999999</v>
      </c>
      <c r="T16" s="2">
        <v>0.25</v>
      </c>
      <c r="U16" s="2">
        <v>156.44999999999999</v>
      </c>
      <c r="V16" s="2">
        <v>1.53</v>
      </c>
      <c r="W16" s="2">
        <v>1.5620000000000001</v>
      </c>
      <c r="X16" s="2">
        <v>1.5640000000000001</v>
      </c>
      <c r="Y16" s="2">
        <v>1.5640000000000001</v>
      </c>
      <c r="Z16" s="2">
        <v>1.53</v>
      </c>
      <c r="AA16" s="2">
        <v>1.5620000000000001</v>
      </c>
      <c r="AB16" s="2">
        <v>1.5640000000000001</v>
      </c>
      <c r="AC16" s="2">
        <v>1.5640000000000001</v>
      </c>
      <c r="AD16" s="2" t="s">
        <v>97</v>
      </c>
      <c r="AE16" s="2" t="s">
        <v>98</v>
      </c>
      <c r="AF16" s="2" t="s">
        <v>99</v>
      </c>
      <c r="AG16" s="2" t="s">
        <v>100</v>
      </c>
      <c r="AH16" s="2" t="s">
        <v>101</v>
      </c>
      <c r="AI16" s="2" t="s">
        <v>102</v>
      </c>
      <c r="AJ16" s="2" t="s">
        <v>103</v>
      </c>
      <c r="AK16" s="2" t="s">
        <v>104</v>
      </c>
      <c r="AL16" s="2" t="s">
        <v>105</v>
      </c>
      <c r="AM16" s="2" t="s">
        <v>185</v>
      </c>
      <c r="AN16" s="2">
        <v>0</v>
      </c>
      <c r="AO16" s="2">
        <v>25.03</v>
      </c>
      <c r="AP16" s="2">
        <v>0</v>
      </c>
      <c r="AQ16" s="2">
        <v>3.13</v>
      </c>
      <c r="AR16" s="2">
        <v>0</v>
      </c>
      <c r="AS16" s="2">
        <v>0</v>
      </c>
      <c r="AT16" s="2">
        <v>0</v>
      </c>
      <c r="AU16" s="3">
        <v>46001</v>
      </c>
      <c r="AV16" s="2" t="s">
        <v>186</v>
      </c>
      <c r="AW16" s="2" t="s">
        <v>123</v>
      </c>
      <c r="AX16" s="2" t="s">
        <v>146</v>
      </c>
      <c r="AY16" s="2" t="s">
        <v>187</v>
      </c>
      <c r="AZ16" s="2" t="s">
        <v>111</v>
      </c>
      <c r="BA16" s="2" t="s">
        <v>112</v>
      </c>
      <c r="BB16" s="2" t="s">
        <v>113</v>
      </c>
      <c r="BC16" s="2" t="s">
        <v>114</v>
      </c>
      <c r="BD16" s="2" t="s">
        <v>115</v>
      </c>
      <c r="BE16" s="2" t="s">
        <v>364</v>
      </c>
      <c r="BF16" s="2" t="s">
        <v>116</v>
      </c>
      <c r="BG16" s="2" t="s">
        <v>117</v>
      </c>
      <c r="BH16" s="2" t="s">
        <v>124</v>
      </c>
      <c r="BI16" s="2"/>
      <c r="BJ16" s="2"/>
      <c r="BK16" s="2" t="s">
        <v>158</v>
      </c>
      <c r="BL16" s="2"/>
      <c r="BM16" s="2">
        <v>2026</v>
      </c>
      <c r="BN16" s="2" t="s">
        <v>119</v>
      </c>
      <c r="BO16" s="2" t="s">
        <v>120</v>
      </c>
    </row>
    <row r="17" spans="1:67" x14ac:dyDescent="0.3">
      <c r="A17" s="2">
        <v>8536501900</v>
      </c>
      <c r="B17" s="2" t="s">
        <v>131</v>
      </c>
      <c r="C17" s="2" t="s">
        <v>92</v>
      </c>
      <c r="D17" s="2" t="s">
        <v>188</v>
      </c>
      <c r="E17" s="3">
        <v>46031</v>
      </c>
      <c r="F17" s="3">
        <v>46035</v>
      </c>
      <c r="G17" s="2" t="s">
        <v>94</v>
      </c>
      <c r="H17" s="2">
        <v>20392800434</v>
      </c>
      <c r="I17" s="2" t="s">
        <v>95</v>
      </c>
      <c r="J17" s="2"/>
      <c r="K17" s="2">
        <v>29.89</v>
      </c>
      <c r="L17" s="2">
        <v>27.83</v>
      </c>
      <c r="M17" s="2">
        <v>300</v>
      </c>
      <c r="N17" s="2" t="s">
        <v>96</v>
      </c>
      <c r="O17" s="2">
        <v>300</v>
      </c>
      <c r="P17" s="2" t="s">
        <v>96</v>
      </c>
      <c r="Q17" s="2">
        <v>264</v>
      </c>
      <c r="R17" s="2">
        <v>5.52</v>
      </c>
      <c r="S17" s="2">
        <v>269.52</v>
      </c>
      <c r="T17" s="2">
        <v>0.44</v>
      </c>
      <c r="U17" s="2">
        <v>269.95999999999998</v>
      </c>
      <c r="V17" s="2">
        <v>0.88</v>
      </c>
      <c r="W17" s="2">
        <v>0.89800000000000002</v>
      </c>
      <c r="X17" s="2">
        <v>0.89900000000000002</v>
      </c>
      <c r="Y17" s="2">
        <v>0.89900000000000002</v>
      </c>
      <c r="Z17" s="2">
        <v>0.88</v>
      </c>
      <c r="AA17" s="2">
        <v>0.89800000000000002</v>
      </c>
      <c r="AB17" s="2">
        <v>0.89900000000000002</v>
      </c>
      <c r="AC17" s="2">
        <v>0.89900000000000002</v>
      </c>
      <c r="AD17" s="2" t="s">
        <v>97</v>
      </c>
      <c r="AE17" s="2" t="s">
        <v>98</v>
      </c>
      <c r="AF17" s="2" t="s">
        <v>99</v>
      </c>
      <c r="AG17" s="2" t="s">
        <v>100</v>
      </c>
      <c r="AH17" s="2" t="s">
        <v>101</v>
      </c>
      <c r="AI17" s="2" t="s">
        <v>102</v>
      </c>
      <c r="AJ17" s="2" t="s">
        <v>103</v>
      </c>
      <c r="AK17" s="2" t="s">
        <v>104</v>
      </c>
      <c r="AL17" s="2" t="s">
        <v>105</v>
      </c>
      <c r="AM17" s="2" t="s">
        <v>189</v>
      </c>
      <c r="AN17" s="2">
        <v>0</v>
      </c>
      <c r="AO17" s="2">
        <v>43.2</v>
      </c>
      <c r="AP17" s="2">
        <v>0</v>
      </c>
      <c r="AQ17" s="2">
        <v>5.4</v>
      </c>
      <c r="AR17" s="2">
        <v>0</v>
      </c>
      <c r="AS17" s="2">
        <v>0</v>
      </c>
      <c r="AT17" s="2">
        <v>0</v>
      </c>
      <c r="AU17" s="3">
        <v>46001</v>
      </c>
      <c r="AV17" s="2" t="s">
        <v>190</v>
      </c>
      <c r="AW17" s="2" t="s">
        <v>123</v>
      </c>
      <c r="AX17" s="2" t="s">
        <v>135</v>
      </c>
      <c r="AY17" s="2" t="s">
        <v>191</v>
      </c>
      <c r="AZ17" s="2" t="s">
        <v>111</v>
      </c>
      <c r="BA17" s="2" t="s">
        <v>112</v>
      </c>
      <c r="BB17" s="2" t="s">
        <v>113</v>
      </c>
      <c r="BC17" s="2" t="s">
        <v>114</v>
      </c>
      <c r="BD17" s="2" t="s">
        <v>115</v>
      </c>
      <c r="BE17" s="2" t="s">
        <v>362</v>
      </c>
      <c r="BF17" s="2" t="s">
        <v>116</v>
      </c>
      <c r="BG17" s="2" t="s">
        <v>117</v>
      </c>
      <c r="BH17" s="2" t="s">
        <v>124</v>
      </c>
      <c r="BI17" s="2"/>
      <c r="BJ17" s="2"/>
      <c r="BK17" s="2" t="s">
        <v>137</v>
      </c>
      <c r="BL17" s="2"/>
      <c r="BM17" s="2">
        <v>2026</v>
      </c>
      <c r="BN17" s="2" t="s">
        <v>119</v>
      </c>
      <c r="BO17" s="2" t="s">
        <v>120</v>
      </c>
    </row>
    <row r="18" spans="1:67" x14ac:dyDescent="0.3">
      <c r="A18" s="2">
        <v>8536501900</v>
      </c>
      <c r="B18" s="2" t="s">
        <v>131</v>
      </c>
      <c r="C18" s="2" t="s">
        <v>92</v>
      </c>
      <c r="D18" s="2" t="s">
        <v>192</v>
      </c>
      <c r="E18" s="3">
        <v>45801</v>
      </c>
      <c r="F18" s="3">
        <v>45805</v>
      </c>
      <c r="G18" s="2" t="s">
        <v>193</v>
      </c>
      <c r="H18" s="2">
        <v>20392800434</v>
      </c>
      <c r="I18" s="2" t="s">
        <v>95</v>
      </c>
      <c r="J18" s="2"/>
      <c r="K18" s="2">
        <v>32.869999999999997</v>
      </c>
      <c r="L18" s="2">
        <v>25.63</v>
      </c>
      <c r="M18" s="2">
        <v>504</v>
      </c>
      <c r="N18" s="2" t="s">
        <v>194</v>
      </c>
      <c r="O18" s="2">
        <v>504</v>
      </c>
      <c r="P18" s="2" t="s">
        <v>194</v>
      </c>
      <c r="Q18" s="2">
        <v>372.96</v>
      </c>
      <c r="R18" s="2">
        <v>3.97</v>
      </c>
      <c r="S18" s="2">
        <v>376.93</v>
      </c>
      <c r="T18" s="2">
        <v>0.85</v>
      </c>
      <c r="U18" s="2">
        <v>377.78</v>
      </c>
      <c r="V18" s="2">
        <v>0.74</v>
      </c>
      <c r="W18" s="2">
        <v>0.747</v>
      </c>
      <c r="X18" s="2">
        <v>0.749</v>
      </c>
      <c r="Y18" s="2">
        <v>0.749</v>
      </c>
      <c r="Z18" s="2">
        <v>0.74</v>
      </c>
      <c r="AA18" s="2">
        <v>0.747</v>
      </c>
      <c r="AB18" s="2">
        <v>0.749</v>
      </c>
      <c r="AC18" s="2">
        <v>0.749</v>
      </c>
      <c r="AD18" s="2" t="s">
        <v>97</v>
      </c>
      <c r="AE18" s="2" t="s">
        <v>98</v>
      </c>
      <c r="AF18" s="2" t="s">
        <v>99</v>
      </c>
      <c r="AG18" s="2" t="s">
        <v>100</v>
      </c>
      <c r="AH18" s="2" t="s">
        <v>195</v>
      </c>
      <c r="AI18" s="2" t="s">
        <v>102</v>
      </c>
      <c r="AJ18" s="2" t="s">
        <v>103</v>
      </c>
      <c r="AK18" s="2" t="s">
        <v>196</v>
      </c>
      <c r="AL18" s="2" t="s">
        <v>105</v>
      </c>
      <c r="AM18" s="2" t="s">
        <v>197</v>
      </c>
      <c r="AN18" s="2">
        <v>0</v>
      </c>
      <c r="AO18" s="2">
        <v>60.45</v>
      </c>
      <c r="AP18" s="2">
        <v>0</v>
      </c>
      <c r="AQ18" s="2">
        <v>7.56</v>
      </c>
      <c r="AR18" s="2">
        <v>0</v>
      </c>
      <c r="AS18" s="2">
        <v>0</v>
      </c>
      <c r="AT18" s="2">
        <v>0</v>
      </c>
      <c r="AU18" s="3">
        <v>45760</v>
      </c>
      <c r="AV18" s="2" t="s">
        <v>198</v>
      </c>
      <c r="AW18" s="2" t="s">
        <v>199</v>
      </c>
      <c r="AX18" s="2" t="s">
        <v>200</v>
      </c>
      <c r="AY18" s="2" t="s">
        <v>201</v>
      </c>
      <c r="AZ18" s="2" t="s">
        <v>129</v>
      </c>
      <c r="BA18" s="2" t="s">
        <v>202</v>
      </c>
      <c r="BB18" s="2" t="s">
        <v>113</v>
      </c>
      <c r="BC18" s="2" t="s">
        <v>114</v>
      </c>
      <c r="BD18" s="2" t="s">
        <v>203</v>
      </c>
      <c r="BE18" s="2" t="s">
        <v>362</v>
      </c>
      <c r="BF18" s="2" t="s">
        <v>204</v>
      </c>
      <c r="BG18" s="2"/>
      <c r="BH18" s="2" t="s">
        <v>205</v>
      </c>
      <c r="BI18" s="2"/>
      <c r="BJ18" s="2"/>
      <c r="BK18" s="2" t="s">
        <v>148</v>
      </c>
      <c r="BL18" s="2"/>
      <c r="BM18" s="2">
        <v>2025</v>
      </c>
      <c r="BN18" s="2" t="s">
        <v>206</v>
      </c>
      <c r="BO18" s="2" t="s">
        <v>120</v>
      </c>
    </row>
    <row r="19" spans="1:67" x14ac:dyDescent="0.3">
      <c r="A19" s="2">
        <v>8536501900</v>
      </c>
      <c r="B19" s="2" t="s">
        <v>131</v>
      </c>
      <c r="C19" s="2" t="s">
        <v>92</v>
      </c>
      <c r="D19" s="2" t="s">
        <v>207</v>
      </c>
      <c r="E19" s="3">
        <v>46031</v>
      </c>
      <c r="F19" s="3">
        <v>46035</v>
      </c>
      <c r="G19" s="2" t="s">
        <v>94</v>
      </c>
      <c r="H19" s="2">
        <v>20392800434</v>
      </c>
      <c r="I19" s="2" t="s">
        <v>95</v>
      </c>
      <c r="J19" s="2"/>
      <c r="K19" s="2">
        <v>249.68</v>
      </c>
      <c r="L19" s="2">
        <v>232.48</v>
      </c>
      <c r="M19" s="2">
        <v>2100</v>
      </c>
      <c r="N19" s="2" t="s">
        <v>96</v>
      </c>
      <c r="O19" s="2">
        <v>2100</v>
      </c>
      <c r="P19" s="2" t="s">
        <v>96</v>
      </c>
      <c r="Q19" s="2">
        <v>2205</v>
      </c>
      <c r="R19" s="2">
        <v>46.17</v>
      </c>
      <c r="S19" s="2">
        <v>2251.17</v>
      </c>
      <c r="T19" s="2">
        <v>3.71</v>
      </c>
      <c r="U19" s="2">
        <v>2254.88</v>
      </c>
      <c r="V19" s="2">
        <v>1.05</v>
      </c>
      <c r="W19" s="2">
        <v>1.071</v>
      </c>
      <c r="X19" s="2">
        <v>1.073</v>
      </c>
      <c r="Y19" s="2">
        <v>1.073</v>
      </c>
      <c r="Z19" s="2">
        <v>1.05</v>
      </c>
      <c r="AA19" s="2">
        <v>1.071</v>
      </c>
      <c r="AB19" s="2">
        <v>1.073</v>
      </c>
      <c r="AC19" s="2">
        <v>1.073</v>
      </c>
      <c r="AD19" s="2" t="s">
        <v>97</v>
      </c>
      <c r="AE19" s="2" t="s">
        <v>98</v>
      </c>
      <c r="AF19" s="2" t="s">
        <v>99</v>
      </c>
      <c r="AG19" s="2" t="s">
        <v>100</v>
      </c>
      <c r="AH19" s="2" t="s">
        <v>101</v>
      </c>
      <c r="AI19" s="2" t="s">
        <v>102</v>
      </c>
      <c r="AJ19" s="2" t="s">
        <v>103</v>
      </c>
      <c r="AK19" s="2" t="s">
        <v>104</v>
      </c>
      <c r="AL19" s="2" t="s">
        <v>105</v>
      </c>
      <c r="AM19" s="2" t="s">
        <v>208</v>
      </c>
      <c r="AN19" s="2">
        <v>0</v>
      </c>
      <c r="AO19" s="2">
        <v>360.78</v>
      </c>
      <c r="AP19" s="2">
        <v>0</v>
      </c>
      <c r="AQ19" s="2">
        <v>45.1</v>
      </c>
      <c r="AR19" s="2">
        <v>0</v>
      </c>
      <c r="AS19" s="2">
        <v>0</v>
      </c>
      <c r="AT19" s="2">
        <v>0</v>
      </c>
      <c r="AU19" s="3">
        <v>46001</v>
      </c>
      <c r="AV19" s="2" t="s">
        <v>182</v>
      </c>
      <c r="AW19" s="2" t="s">
        <v>108</v>
      </c>
      <c r="AX19" s="2" t="s">
        <v>146</v>
      </c>
      <c r="AY19" s="2" t="s">
        <v>183</v>
      </c>
      <c r="AZ19" s="2" t="s">
        <v>111</v>
      </c>
      <c r="BA19" s="2" t="s">
        <v>112</v>
      </c>
      <c r="BB19" s="2" t="s">
        <v>113</v>
      </c>
      <c r="BC19" s="2" t="s">
        <v>114</v>
      </c>
      <c r="BD19" s="2" t="s">
        <v>115</v>
      </c>
      <c r="BE19" s="2" t="s">
        <v>363</v>
      </c>
      <c r="BF19" s="2" t="s">
        <v>116</v>
      </c>
      <c r="BG19" s="2" t="s">
        <v>117</v>
      </c>
      <c r="BH19" s="2" t="s">
        <v>118</v>
      </c>
      <c r="BI19" s="2"/>
      <c r="BJ19" s="2"/>
      <c r="BK19" s="2" t="s">
        <v>153</v>
      </c>
      <c r="BL19" s="2"/>
      <c r="BM19" s="2">
        <v>2026</v>
      </c>
      <c r="BN19" s="2" t="s">
        <v>119</v>
      </c>
      <c r="BO19" s="2" t="s">
        <v>120</v>
      </c>
    </row>
    <row r="20" spans="1:67" x14ac:dyDescent="0.3">
      <c r="A20" s="2">
        <v>8536501900</v>
      </c>
      <c r="B20" s="2" t="s">
        <v>131</v>
      </c>
      <c r="C20" s="2" t="s">
        <v>92</v>
      </c>
      <c r="D20" s="2" t="s">
        <v>209</v>
      </c>
      <c r="E20" s="3">
        <v>46031</v>
      </c>
      <c r="F20" s="3">
        <v>46035</v>
      </c>
      <c r="G20" s="2" t="s">
        <v>94</v>
      </c>
      <c r="H20" s="2">
        <v>20392800434</v>
      </c>
      <c r="I20" s="2" t="s">
        <v>95</v>
      </c>
      <c r="J20" s="2"/>
      <c r="K20" s="2">
        <v>234.39</v>
      </c>
      <c r="L20" s="2">
        <v>218.25</v>
      </c>
      <c r="M20" s="2">
        <v>1500</v>
      </c>
      <c r="N20" s="2" t="s">
        <v>96</v>
      </c>
      <c r="O20" s="2">
        <v>1500</v>
      </c>
      <c r="P20" s="2" t="s">
        <v>96</v>
      </c>
      <c r="Q20" s="2">
        <v>2070</v>
      </c>
      <c r="R20" s="2">
        <v>43.35</v>
      </c>
      <c r="S20" s="2">
        <v>2113.35</v>
      </c>
      <c r="T20" s="2">
        <v>3.48</v>
      </c>
      <c r="U20" s="2">
        <v>2116.83</v>
      </c>
      <c r="V20" s="2">
        <v>1.38</v>
      </c>
      <c r="W20" s="2">
        <v>1.4079999999999999</v>
      </c>
      <c r="X20" s="2">
        <v>1.411</v>
      </c>
      <c r="Y20" s="2">
        <v>1.411</v>
      </c>
      <c r="Z20" s="2">
        <v>1.38</v>
      </c>
      <c r="AA20" s="2">
        <v>1.4079999999999999</v>
      </c>
      <c r="AB20" s="2">
        <v>1.411</v>
      </c>
      <c r="AC20" s="2">
        <v>1.411</v>
      </c>
      <c r="AD20" s="2" t="s">
        <v>97</v>
      </c>
      <c r="AE20" s="2" t="s">
        <v>98</v>
      </c>
      <c r="AF20" s="2" t="s">
        <v>99</v>
      </c>
      <c r="AG20" s="2" t="s">
        <v>100</v>
      </c>
      <c r="AH20" s="2" t="s">
        <v>101</v>
      </c>
      <c r="AI20" s="2" t="s">
        <v>102</v>
      </c>
      <c r="AJ20" s="2" t="s">
        <v>103</v>
      </c>
      <c r="AK20" s="2" t="s">
        <v>104</v>
      </c>
      <c r="AL20" s="2" t="s">
        <v>105</v>
      </c>
      <c r="AM20" s="2" t="s">
        <v>210</v>
      </c>
      <c r="AN20" s="2">
        <v>0</v>
      </c>
      <c r="AO20" s="2">
        <v>338.69</v>
      </c>
      <c r="AP20" s="2">
        <v>0</v>
      </c>
      <c r="AQ20" s="2">
        <v>42.34</v>
      </c>
      <c r="AR20" s="2">
        <v>0</v>
      </c>
      <c r="AS20" s="2">
        <v>0</v>
      </c>
      <c r="AT20" s="2">
        <v>0</v>
      </c>
      <c r="AU20" s="3">
        <v>46001</v>
      </c>
      <c r="AV20" s="2" t="s">
        <v>186</v>
      </c>
      <c r="AW20" s="2" t="s">
        <v>108</v>
      </c>
      <c r="AX20" s="2" t="s">
        <v>146</v>
      </c>
      <c r="AY20" s="2" t="s">
        <v>187</v>
      </c>
      <c r="AZ20" s="2" t="s">
        <v>111</v>
      </c>
      <c r="BA20" s="2" t="s">
        <v>112</v>
      </c>
      <c r="BB20" s="2" t="s">
        <v>113</v>
      </c>
      <c r="BC20" s="2" t="s">
        <v>114</v>
      </c>
      <c r="BD20" s="2" t="s">
        <v>115</v>
      </c>
      <c r="BE20" s="2" t="s">
        <v>364</v>
      </c>
      <c r="BF20" s="2" t="s">
        <v>116</v>
      </c>
      <c r="BG20" s="2" t="s">
        <v>117</v>
      </c>
      <c r="BH20" s="2" t="s">
        <v>118</v>
      </c>
      <c r="BI20" s="2"/>
      <c r="BJ20" s="2"/>
      <c r="BK20" s="2" t="s">
        <v>158</v>
      </c>
      <c r="BL20" s="2"/>
      <c r="BM20" s="2">
        <v>2026</v>
      </c>
      <c r="BN20" s="2" t="s">
        <v>119</v>
      </c>
      <c r="BO20" s="2" t="s">
        <v>120</v>
      </c>
    </row>
    <row r="21" spans="1:67" x14ac:dyDescent="0.3">
      <c r="A21" s="2">
        <v>8536501900</v>
      </c>
      <c r="B21" s="2" t="s">
        <v>131</v>
      </c>
      <c r="C21" s="2" t="s">
        <v>92</v>
      </c>
      <c r="D21" s="2" t="s">
        <v>211</v>
      </c>
      <c r="E21" s="3">
        <v>46031</v>
      </c>
      <c r="F21" s="3">
        <v>46035</v>
      </c>
      <c r="G21" s="2" t="s">
        <v>94</v>
      </c>
      <c r="H21" s="2">
        <v>20392800434</v>
      </c>
      <c r="I21" s="2" t="s">
        <v>95</v>
      </c>
      <c r="J21" s="2"/>
      <c r="K21" s="2">
        <v>138.59</v>
      </c>
      <c r="L21" s="2">
        <v>129.05000000000001</v>
      </c>
      <c r="M21" s="2">
        <v>1700</v>
      </c>
      <c r="N21" s="2" t="s">
        <v>96</v>
      </c>
      <c r="O21" s="2">
        <v>1700</v>
      </c>
      <c r="P21" s="2" t="s">
        <v>96</v>
      </c>
      <c r="Q21" s="2">
        <v>1224</v>
      </c>
      <c r="R21" s="2">
        <v>25.63</v>
      </c>
      <c r="S21" s="2">
        <v>1249.6300000000001</v>
      </c>
      <c r="T21" s="2">
        <v>2.06</v>
      </c>
      <c r="U21" s="2">
        <v>1251.69</v>
      </c>
      <c r="V21" s="2">
        <v>0.72</v>
      </c>
      <c r="W21" s="2">
        <v>0.73499999999999999</v>
      </c>
      <c r="X21" s="2">
        <v>0.73599999999999999</v>
      </c>
      <c r="Y21" s="2">
        <v>0.73599999999999999</v>
      </c>
      <c r="Z21" s="2">
        <v>0.72</v>
      </c>
      <c r="AA21" s="2">
        <v>0.73499999999999999</v>
      </c>
      <c r="AB21" s="2">
        <v>0.73599999999999999</v>
      </c>
      <c r="AC21" s="2">
        <v>0.73599999999999999</v>
      </c>
      <c r="AD21" s="2" t="s">
        <v>97</v>
      </c>
      <c r="AE21" s="2" t="s">
        <v>98</v>
      </c>
      <c r="AF21" s="2" t="s">
        <v>99</v>
      </c>
      <c r="AG21" s="2" t="s">
        <v>100</v>
      </c>
      <c r="AH21" s="2" t="s">
        <v>101</v>
      </c>
      <c r="AI21" s="2" t="s">
        <v>102</v>
      </c>
      <c r="AJ21" s="2" t="s">
        <v>103</v>
      </c>
      <c r="AK21" s="2" t="s">
        <v>104</v>
      </c>
      <c r="AL21" s="2" t="s">
        <v>105</v>
      </c>
      <c r="AM21" s="2" t="s">
        <v>212</v>
      </c>
      <c r="AN21" s="2">
        <v>0</v>
      </c>
      <c r="AO21" s="2">
        <v>200.27</v>
      </c>
      <c r="AP21" s="2">
        <v>0</v>
      </c>
      <c r="AQ21" s="2">
        <v>25.03</v>
      </c>
      <c r="AR21" s="2">
        <v>0</v>
      </c>
      <c r="AS21" s="2">
        <v>0</v>
      </c>
      <c r="AT21" s="2">
        <v>0</v>
      </c>
      <c r="AU21" s="3">
        <v>46001</v>
      </c>
      <c r="AV21" s="2" t="s">
        <v>190</v>
      </c>
      <c r="AW21" s="2" t="s">
        <v>108</v>
      </c>
      <c r="AX21" s="2" t="s">
        <v>135</v>
      </c>
      <c r="AY21" s="2" t="s">
        <v>191</v>
      </c>
      <c r="AZ21" s="2" t="s">
        <v>111</v>
      </c>
      <c r="BA21" s="2" t="s">
        <v>112</v>
      </c>
      <c r="BB21" s="2" t="s">
        <v>113</v>
      </c>
      <c r="BC21" s="2" t="s">
        <v>114</v>
      </c>
      <c r="BD21" s="2" t="s">
        <v>115</v>
      </c>
      <c r="BE21" s="2" t="s">
        <v>362</v>
      </c>
      <c r="BF21" s="2" t="s">
        <v>116</v>
      </c>
      <c r="BG21" s="2" t="s">
        <v>117</v>
      </c>
      <c r="BH21" s="2" t="s">
        <v>118</v>
      </c>
      <c r="BI21" s="2"/>
      <c r="BJ21" s="2"/>
      <c r="BK21" s="2" t="s">
        <v>137</v>
      </c>
      <c r="BL21" s="2"/>
      <c r="BM21" s="2">
        <v>2026</v>
      </c>
      <c r="BN21" s="2" t="s">
        <v>119</v>
      </c>
      <c r="BO21" s="2" t="s">
        <v>120</v>
      </c>
    </row>
    <row r="22" spans="1:67" x14ac:dyDescent="0.3">
      <c r="A22" s="2">
        <v>8536501900</v>
      </c>
      <c r="B22" s="2" t="s">
        <v>131</v>
      </c>
      <c r="C22" s="2" t="s">
        <v>92</v>
      </c>
      <c r="D22" s="2" t="s">
        <v>213</v>
      </c>
      <c r="E22" s="3">
        <v>45801</v>
      </c>
      <c r="F22" s="3">
        <v>45805</v>
      </c>
      <c r="G22" s="2" t="s">
        <v>193</v>
      </c>
      <c r="H22" s="2">
        <v>20392800434</v>
      </c>
      <c r="I22" s="2" t="s">
        <v>95</v>
      </c>
      <c r="J22" s="2"/>
      <c r="K22" s="2">
        <v>315.39</v>
      </c>
      <c r="L22" s="2">
        <v>245.99</v>
      </c>
      <c r="M22" s="2">
        <v>5040</v>
      </c>
      <c r="N22" s="2" t="s">
        <v>194</v>
      </c>
      <c r="O22" s="2">
        <v>5040</v>
      </c>
      <c r="P22" s="2" t="s">
        <v>194</v>
      </c>
      <c r="Q22" s="2">
        <v>3578.4</v>
      </c>
      <c r="R22" s="2">
        <v>38.08</v>
      </c>
      <c r="S22" s="2">
        <v>3616.48</v>
      </c>
      <c r="T22" s="2">
        <v>8.24</v>
      </c>
      <c r="U22" s="2">
        <v>3624.72</v>
      </c>
      <c r="V22" s="2">
        <v>0.71</v>
      </c>
      <c r="W22" s="2">
        <v>0.71699999999999997</v>
      </c>
      <c r="X22" s="2">
        <v>0.71899999999999997</v>
      </c>
      <c r="Y22" s="2">
        <v>0.71899999999999997</v>
      </c>
      <c r="Z22" s="2">
        <v>0.71</v>
      </c>
      <c r="AA22" s="2">
        <v>0.71699999999999997</v>
      </c>
      <c r="AB22" s="2">
        <v>0.71899999999999997</v>
      </c>
      <c r="AC22" s="2">
        <v>0.71899999999999997</v>
      </c>
      <c r="AD22" s="2" t="s">
        <v>97</v>
      </c>
      <c r="AE22" s="2" t="s">
        <v>98</v>
      </c>
      <c r="AF22" s="2" t="s">
        <v>99</v>
      </c>
      <c r="AG22" s="2" t="s">
        <v>100</v>
      </c>
      <c r="AH22" s="2" t="s">
        <v>195</v>
      </c>
      <c r="AI22" s="2" t="s">
        <v>102</v>
      </c>
      <c r="AJ22" s="2" t="s">
        <v>103</v>
      </c>
      <c r="AK22" s="2" t="s">
        <v>196</v>
      </c>
      <c r="AL22" s="2" t="s">
        <v>105</v>
      </c>
      <c r="AM22" s="2" t="s">
        <v>214</v>
      </c>
      <c r="AN22" s="2">
        <v>0</v>
      </c>
      <c r="AO22" s="2">
        <v>579.96</v>
      </c>
      <c r="AP22" s="2">
        <v>0</v>
      </c>
      <c r="AQ22" s="2">
        <v>72.489999999999995</v>
      </c>
      <c r="AR22" s="2">
        <v>0</v>
      </c>
      <c r="AS22" s="2">
        <v>0</v>
      </c>
      <c r="AT22" s="2">
        <v>0</v>
      </c>
      <c r="AU22" s="3">
        <v>45760</v>
      </c>
      <c r="AV22" s="2" t="s">
        <v>215</v>
      </c>
      <c r="AW22" s="2" t="s">
        <v>216</v>
      </c>
      <c r="AX22" s="2" t="s">
        <v>200</v>
      </c>
      <c r="AY22" s="2" t="s">
        <v>217</v>
      </c>
      <c r="AZ22" s="2" t="s">
        <v>129</v>
      </c>
      <c r="BA22" s="2" t="s">
        <v>202</v>
      </c>
      <c r="BB22" s="2" t="s">
        <v>113</v>
      </c>
      <c r="BC22" s="2" t="s">
        <v>114</v>
      </c>
      <c r="BD22" s="2" t="s">
        <v>203</v>
      </c>
      <c r="BE22" s="2" t="s">
        <v>362</v>
      </c>
      <c r="BF22" s="2" t="s">
        <v>204</v>
      </c>
      <c r="BG22" s="2"/>
      <c r="BH22" s="2" t="s">
        <v>118</v>
      </c>
      <c r="BI22" s="2"/>
      <c r="BJ22" s="2"/>
      <c r="BK22" s="2" t="s">
        <v>148</v>
      </c>
      <c r="BL22" s="2"/>
      <c r="BM22" s="2">
        <v>2025</v>
      </c>
      <c r="BN22" s="2" t="s">
        <v>206</v>
      </c>
      <c r="BO22" s="2" t="s">
        <v>120</v>
      </c>
    </row>
    <row r="23" spans="1:67" x14ac:dyDescent="0.3">
      <c r="A23" s="2">
        <v>8536501900</v>
      </c>
      <c r="B23" s="2" t="s">
        <v>131</v>
      </c>
      <c r="C23" s="2" t="s">
        <v>92</v>
      </c>
      <c r="D23" s="2" t="s">
        <v>218</v>
      </c>
      <c r="E23" s="3">
        <v>45801</v>
      </c>
      <c r="F23" s="3">
        <v>45805</v>
      </c>
      <c r="G23" s="2" t="s">
        <v>193</v>
      </c>
      <c r="H23" s="2">
        <v>20392800434</v>
      </c>
      <c r="I23" s="2" t="s">
        <v>95</v>
      </c>
      <c r="J23" s="2"/>
      <c r="K23" s="2">
        <v>103.95</v>
      </c>
      <c r="L23" s="2">
        <v>81.069999999999993</v>
      </c>
      <c r="M23" s="2">
        <v>1008</v>
      </c>
      <c r="N23" s="2" t="s">
        <v>194</v>
      </c>
      <c r="O23" s="2">
        <v>1008</v>
      </c>
      <c r="P23" s="2" t="s">
        <v>194</v>
      </c>
      <c r="Q23" s="2">
        <v>1179.3599999999999</v>
      </c>
      <c r="R23" s="2">
        <v>12.55</v>
      </c>
      <c r="S23" s="2">
        <v>1191.9100000000001</v>
      </c>
      <c r="T23" s="2">
        <v>2.71</v>
      </c>
      <c r="U23" s="2">
        <v>1194.6199999999999</v>
      </c>
      <c r="V23" s="2">
        <v>1.17</v>
      </c>
      <c r="W23" s="2">
        <v>1.1819999999999999</v>
      </c>
      <c r="X23" s="2">
        <v>1.1850000000000001</v>
      </c>
      <c r="Y23" s="2">
        <v>1.1850000000000001</v>
      </c>
      <c r="Z23" s="2">
        <v>1.17</v>
      </c>
      <c r="AA23" s="2">
        <v>1.1819999999999999</v>
      </c>
      <c r="AB23" s="2">
        <v>1.1850000000000001</v>
      </c>
      <c r="AC23" s="2">
        <v>1.1850000000000001</v>
      </c>
      <c r="AD23" s="2" t="s">
        <v>97</v>
      </c>
      <c r="AE23" s="2" t="s">
        <v>98</v>
      </c>
      <c r="AF23" s="2" t="s">
        <v>99</v>
      </c>
      <c r="AG23" s="2" t="s">
        <v>100</v>
      </c>
      <c r="AH23" s="2" t="s">
        <v>195</v>
      </c>
      <c r="AI23" s="2" t="s">
        <v>102</v>
      </c>
      <c r="AJ23" s="2" t="s">
        <v>103</v>
      </c>
      <c r="AK23" s="2" t="s">
        <v>196</v>
      </c>
      <c r="AL23" s="2" t="s">
        <v>105</v>
      </c>
      <c r="AM23" s="2" t="s">
        <v>219</v>
      </c>
      <c r="AN23" s="2">
        <v>0</v>
      </c>
      <c r="AO23" s="2">
        <v>191.14</v>
      </c>
      <c r="AP23" s="2">
        <v>0</v>
      </c>
      <c r="AQ23" s="2">
        <v>23.89</v>
      </c>
      <c r="AR23" s="2">
        <v>0</v>
      </c>
      <c r="AS23" s="2">
        <v>0</v>
      </c>
      <c r="AT23" s="2">
        <v>0</v>
      </c>
      <c r="AU23" s="3">
        <v>45760</v>
      </c>
      <c r="AV23" s="2" t="s">
        <v>220</v>
      </c>
      <c r="AW23" s="2" t="s">
        <v>221</v>
      </c>
      <c r="AX23" s="2" t="s">
        <v>200</v>
      </c>
      <c r="AY23" s="2" t="s">
        <v>222</v>
      </c>
      <c r="AZ23" s="2" t="s">
        <v>129</v>
      </c>
      <c r="BA23" s="2" t="s">
        <v>202</v>
      </c>
      <c r="BB23" s="2" t="s">
        <v>113</v>
      </c>
      <c r="BC23" s="2" t="s">
        <v>114</v>
      </c>
      <c r="BD23" s="2" t="s">
        <v>203</v>
      </c>
      <c r="BE23" s="2" t="s">
        <v>364</v>
      </c>
      <c r="BF23" s="2" t="s">
        <v>204</v>
      </c>
      <c r="BG23" s="2"/>
      <c r="BH23" s="2" t="s">
        <v>118</v>
      </c>
      <c r="BI23" s="2"/>
      <c r="BJ23" s="2"/>
      <c r="BK23" s="2" t="s">
        <v>158</v>
      </c>
      <c r="BL23" s="2"/>
      <c r="BM23" s="2">
        <v>2025</v>
      </c>
      <c r="BN23" s="2" t="s">
        <v>206</v>
      </c>
      <c r="BO23" s="2" t="s">
        <v>120</v>
      </c>
    </row>
    <row r="24" spans="1:67" x14ac:dyDescent="0.3">
      <c r="A24" s="2">
        <v>8536501900</v>
      </c>
      <c r="B24" s="2" t="s">
        <v>131</v>
      </c>
      <c r="C24" s="2" t="s">
        <v>92</v>
      </c>
      <c r="D24" s="2" t="s">
        <v>223</v>
      </c>
      <c r="E24" s="3">
        <v>45801</v>
      </c>
      <c r="F24" s="3">
        <v>45805</v>
      </c>
      <c r="G24" s="2" t="s">
        <v>193</v>
      </c>
      <c r="H24" s="2">
        <v>20392800434</v>
      </c>
      <c r="I24" s="2" t="s">
        <v>95</v>
      </c>
      <c r="J24" s="2"/>
      <c r="K24" s="2">
        <v>98.61</v>
      </c>
      <c r="L24" s="2">
        <v>76.91</v>
      </c>
      <c r="M24" s="2">
        <v>1512</v>
      </c>
      <c r="N24" s="2" t="s">
        <v>194</v>
      </c>
      <c r="O24" s="2">
        <v>1512</v>
      </c>
      <c r="P24" s="2" t="s">
        <v>194</v>
      </c>
      <c r="Q24" s="2">
        <v>1118.8800000000001</v>
      </c>
      <c r="R24" s="2">
        <v>11.9</v>
      </c>
      <c r="S24" s="2">
        <v>1130.78</v>
      </c>
      <c r="T24" s="2">
        <v>2.57</v>
      </c>
      <c r="U24" s="2">
        <v>1133.3499999999999</v>
      </c>
      <c r="V24" s="2">
        <v>0.74</v>
      </c>
      <c r="W24" s="2">
        <v>0.747</v>
      </c>
      <c r="X24" s="2">
        <v>0.749</v>
      </c>
      <c r="Y24" s="2">
        <v>0.749</v>
      </c>
      <c r="Z24" s="2">
        <v>0.74</v>
      </c>
      <c r="AA24" s="2">
        <v>0.747</v>
      </c>
      <c r="AB24" s="2">
        <v>0.749</v>
      </c>
      <c r="AC24" s="2">
        <v>0.749</v>
      </c>
      <c r="AD24" s="2" t="s">
        <v>97</v>
      </c>
      <c r="AE24" s="2" t="s">
        <v>98</v>
      </c>
      <c r="AF24" s="2" t="s">
        <v>99</v>
      </c>
      <c r="AG24" s="2" t="s">
        <v>100</v>
      </c>
      <c r="AH24" s="2" t="s">
        <v>195</v>
      </c>
      <c r="AI24" s="2" t="s">
        <v>102</v>
      </c>
      <c r="AJ24" s="2" t="s">
        <v>103</v>
      </c>
      <c r="AK24" s="2" t="s">
        <v>196</v>
      </c>
      <c r="AL24" s="2" t="s">
        <v>105</v>
      </c>
      <c r="AM24" s="2" t="s">
        <v>224</v>
      </c>
      <c r="AN24" s="2">
        <v>0</v>
      </c>
      <c r="AO24" s="2">
        <v>181.34</v>
      </c>
      <c r="AP24" s="2">
        <v>0</v>
      </c>
      <c r="AQ24" s="2">
        <v>22.67</v>
      </c>
      <c r="AR24" s="2">
        <v>0</v>
      </c>
      <c r="AS24" s="2">
        <v>0</v>
      </c>
      <c r="AT24" s="2">
        <v>0</v>
      </c>
      <c r="AU24" s="3">
        <v>45760</v>
      </c>
      <c r="AV24" s="2" t="s">
        <v>225</v>
      </c>
      <c r="AW24" s="2" t="s">
        <v>226</v>
      </c>
      <c r="AX24" s="2" t="s">
        <v>200</v>
      </c>
      <c r="AY24" s="2" t="s">
        <v>227</v>
      </c>
      <c r="AZ24" s="2" t="s">
        <v>129</v>
      </c>
      <c r="BA24" s="2" t="s">
        <v>202</v>
      </c>
      <c r="BB24" s="2" t="s">
        <v>113</v>
      </c>
      <c r="BC24" s="2" t="s">
        <v>114</v>
      </c>
      <c r="BD24" s="2" t="s">
        <v>203</v>
      </c>
      <c r="BE24" s="2" t="s">
        <v>362</v>
      </c>
      <c r="BF24" s="2" t="s">
        <v>204</v>
      </c>
      <c r="BG24" s="2"/>
      <c r="BH24" s="2" t="s">
        <v>118</v>
      </c>
      <c r="BI24" s="2"/>
      <c r="BJ24" s="2"/>
      <c r="BK24" s="2" t="s">
        <v>148</v>
      </c>
      <c r="BL24" s="2"/>
      <c r="BM24" s="2">
        <v>2025</v>
      </c>
      <c r="BN24" s="2" t="s">
        <v>206</v>
      </c>
      <c r="BO24" s="2" t="s">
        <v>120</v>
      </c>
    </row>
    <row r="25" spans="1:67" x14ac:dyDescent="0.3">
      <c r="A25" s="2">
        <v>8536501900</v>
      </c>
      <c r="B25" s="2" t="s">
        <v>131</v>
      </c>
      <c r="C25" s="2" t="s">
        <v>92</v>
      </c>
      <c r="D25" s="2" t="s">
        <v>228</v>
      </c>
      <c r="E25" s="3">
        <v>46031</v>
      </c>
      <c r="F25" s="3">
        <v>46035</v>
      </c>
      <c r="G25" s="2" t="s">
        <v>94</v>
      </c>
      <c r="H25" s="2">
        <v>20392800434</v>
      </c>
      <c r="I25" s="2" t="s">
        <v>95</v>
      </c>
      <c r="J25" s="2"/>
      <c r="K25" s="2">
        <v>298.27999999999997</v>
      </c>
      <c r="L25" s="2">
        <v>277.73</v>
      </c>
      <c r="M25" s="2">
        <v>2688</v>
      </c>
      <c r="N25" s="2" t="s">
        <v>96</v>
      </c>
      <c r="O25" s="2">
        <v>2688</v>
      </c>
      <c r="P25" s="2" t="s">
        <v>96</v>
      </c>
      <c r="Q25" s="2">
        <v>2634.24</v>
      </c>
      <c r="R25" s="2">
        <v>55.16</v>
      </c>
      <c r="S25" s="2">
        <v>2689.4</v>
      </c>
      <c r="T25" s="2">
        <v>4.43</v>
      </c>
      <c r="U25" s="2">
        <v>2693.83</v>
      </c>
      <c r="V25" s="2">
        <v>0.98</v>
      </c>
      <c r="W25" s="2">
        <v>1</v>
      </c>
      <c r="X25" s="2">
        <v>1.002</v>
      </c>
      <c r="Y25" s="2">
        <v>1.002</v>
      </c>
      <c r="Z25" s="2">
        <v>0.98</v>
      </c>
      <c r="AA25" s="2">
        <v>1</v>
      </c>
      <c r="AB25" s="2">
        <v>1.002</v>
      </c>
      <c r="AC25" s="2">
        <v>1.002</v>
      </c>
      <c r="AD25" s="2" t="s">
        <v>97</v>
      </c>
      <c r="AE25" s="2" t="s">
        <v>98</v>
      </c>
      <c r="AF25" s="2" t="s">
        <v>99</v>
      </c>
      <c r="AG25" s="2" t="s">
        <v>100</v>
      </c>
      <c r="AH25" s="2" t="s">
        <v>101</v>
      </c>
      <c r="AI25" s="2" t="s">
        <v>102</v>
      </c>
      <c r="AJ25" s="2" t="s">
        <v>103</v>
      </c>
      <c r="AK25" s="2" t="s">
        <v>104</v>
      </c>
      <c r="AL25" s="2" t="s">
        <v>105</v>
      </c>
      <c r="AM25" s="2" t="s">
        <v>229</v>
      </c>
      <c r="AN25" s="2">
        <v>0</v>
      </c>
      <c r="AO25" s="2">
        <v>431.01</v>
      </c>
      <c r="AP25" s="2">
        <v>0</v>
      </c>
      <c r="AQ25" s="2">
        <v>53.88</v>
      </c>
      <c r="AR25" s="2">
        <v>0</v>
      </c>
      <c r="AS25" s="2">
        <v>0</v>
      </c>
      <c r="AT25" s="2">
        <v>0</v>
      </c>
      <c r="AU25" s="3">
        <v>46001</v>
      </c>
      <c r="AV25" s="2" t="s">
        <v>230</v>
      </c>
      <c r="AW25" s="2" t="s">
        <v>108</v>
      </c>
      <c r="AX25" s="2" t="s">
        <v>174</v>
      </c>
      <c r="AY25" s="2" t="s">
        <v>231</v>
      </c>
      <c r="AZ25" s="2" t="s">
        <v>129</v>
      </c>
      <c r="BA25" s="2" t="s">
        <v>112</v>
      </c>
      <c r="BB25" s="2" t="s">
        <v>113</v>
      </c>
      <c r="BC25" s="2" t="s">
        <v>114</v>
      </c>
      <c r="BD25" s="2" t="s">
        <v>115</v>
      </c>
      <c r="BE25" s="2" t="s">
        <v>363</v>
      </c>
      <c r="BF25" s="2" t="s">
        <v>116</v>
      </c>
      <c r="BG25" s="2"/>
      <c r="BH25" s="2" t="s">
        <v>118</v>
      </c>
      <c r="BI25" s="2"/>
      <c r="BJ25" s="2"/>
      <c r="BK25" s="2"/>
      <c r="BL25" s="2"/>
      <c r="BM25" s="2">
        <v>2026</v>
      </c>
      <c r="BN25" s="2" t="s">
        <v>119</v>
      </c>
      <c r="BO25" s="2" t="s">
        <v>120</v>
      </c>
    </row>
    <row r="26" spans="1:67" x14ac:dyDescent="0.3">
      <c r="A26" s="2">
        <v>8536501900</v>
      </c>
      <c r="B26" s="2" t="s">
        <v>131</v>
      </c>
      <c r="C26" s="2" t="s">
        <v>92</v>
      </c>
      <c r="D26" s="2" t="s">
        <v>232</v>
      </c>
      <c r="E26" s="3">
        <v>46031</v>
      </c>
      <c r="F26" s="3">
        <v>46035</v>
      </c>
      <c r="G26" s="2" t="s">
        <v>94</v>
      </c>
      <c r="H26" s="2">
        <v>20392800434</v>
      </c>
      <c r="I26" s="2" t="s">
        <v>95</v>
      </c>
      <c r="J26" s="2"/>
      <c r="K26" s="2">
        <v>40.520000000000003</v>
      </c>
      <c r="L26" s="2">
        <v>37.72</v>
      </c>
      <c r="M26" s="2">
        <v>504</v>
      </c>
      <c r="N26" s="2" t="s">
        <v>96</v>
      </c>
      <c r="O26" s="2">
        <v>504</v>
      </c>
      <c r="P26" s="2" t="s">
        <v>96</v>
      </c>
      <c r="Q26" s="2">
        <v>357.84</v>
      </c>
      <c r="R26" s="2">
        <v>7.49</v>
      </c>
      <c r="S26" s="2">
        <v>365.33</v>
      </c>
      <c r="T26" s="2">
        <v>0.6</v>
      </c>
      <c r="U26" s="2">
        <v>365.93</v>
      </c>
      <c r="V26" s="2">
        <v>0.71</v>
      </c>
      <c r="W26" s="2">
        <v>0.72399999999999998</v>
      </c>
      <c r="X26" s="2">
        <v>0.72599999999999998</v>
      </c>
      <c r="Y26" s="2">
        <v>0.72599999999999998</v>
      </c>
      <c r="Z26" s="2">
        <v>0.71</v>
      </c>
      <c r="AA26" s="2">
        <v>0.72399999999999998</v>
      </c>
      <c r="AB26" s="2">
        <v>0.72599999999999998</v>
      </c>
      <c r="AC26" s="2">
        <v>0.72599999999999998</v>
      </c>
      <c r="AD26" s="2" t="s">
        <v>97</v>
      </c>
      <c r="AE26" s="2" t="s">
        <v>98</v>
      </c>
      <c r="AF26" s="2" t="s">
        <v>99</v>
      </c>
      <c r="AG26" s="2" t="s">
        <v>100</v>
      </c>
      <c r="AH26" s="2" t="s">
        <v>101</v>
      </c>
      <c r="AI26" s="2" t="s">
        <v>102</v>
      </c>
      <c r="AJ26" s="2" t="s">
        <v>103</v>
      </c>
      <c r="AK26" s="2" t="s">
        <v>104</v>
      </c>
      <c r="AL26" s="2" t="s">
        <v>105</v>
      </c>
      <c r="AM26" s="2" t="s">
        <v>233</v>
      </c>
      <c r="AN26" s="2">
        <v>0</v>
      </c>
      <c r="AO26" s="2">
        <v>58.55</v>
      </c>
      <c r="AP26" s="2">
        <v>0</v>
      </c>
      <c r="AQ26" s="2">
        <v>7.32</v>
      </c>
      <c r="AR26" s="2">
        <v>0</v>
      </c>
      <c r="AS26" s="2">
        <v>0</v>
      </c>
      <c r="AT26" s="2">
        <v>0</v>
      </c>
      <c r="AU26" s="3">
        <v>46001</v>
      </c>
      <c r="AV26" s="2" t="s">
        <v>145</v>
      </c>
      <c r="AW26" s="2" t="s">
        <v>234</v>
      </c>
      <c r="AX26" s="2" t="s">
        <v>146</v>
      </c>
      <c r="AY26" s="2" t="s">
        <v>147</v>
      </c>
      <c r="AZ26" s="2" t="s">
        <v>129</v>
      </c>
      <c r="BA26" s="2" t="s">
        <v>112</v>
      </c>
      <c r="BB26" s="2" t="s">
        <v>113</v>
      </c>
      <c r="BC26" s="2" t="s">
        <v>114</v>
      </c>
      <c r="BD26" s="2" t="s">
        <v>115</v>
      </c>
      <c r="BE26" s="2" t="s">
        <v>362</v>
      </c>
      <c r="BF26" s="2" t="s">
        <v>116</v>
      </c>
      <c r="BG26" s="2"/>
      <c r="BH26" s="2" t="s">
        <v>205</v>
      </c>
      <c r="BI26" s="2"/>
      <c r="BJ26" s="2"/>
      <c r="BK26" s="2" t="s">
        <v>148</v>
      </c>
      <c r="BL26" s="2"/>
      <c r="BM26" s="2">
        <v>2026</v>
      </c>
      <c r="BN26" s="2" t="s">
        <v>119</v>
      </c>
      <c r="BO26" s="2" t="s">
        <v>120</v>
      </c>
    </row>
    <row r="27" spans="1:67" x14ac:dyDescent="0.3">
      <c r="A27" s="2">
        <v>8536501900</v>
      </c>
      <c r="B27" s="2" t="s">
        <v>131</v>
      </c>
      <c r="C27" s="2" t="s">
        <v>92</v>
      </c>
      <c r="D27" s="2" t="s">
        <v>235</v>
      </c>
      <c r="E27" s="3">
        <v>46031</v>
      </c>
      <c r="F27" s="3">
        <v>46035</v>
      </c>
      <c r="G27" s="2" t="s">
        <v>94</v>
      </c>
      <c r="H27" s="2">
        <v>20392800434</v>
      </c>
      <c r="I27" s="2" t="s">
        <v>95</v>
      </c>
      <c r="J27" s="2"/>
      <c r="K27" s="2">
        <v>54.21</v>
      </c>
      <c r="L27" s="2">
        <v>50.48</v>
      </c>
      <c r="M27" s="2">
        <v>504</v>
      </c>
      <c r="N27" s="2" t="s">
        <v>96</v>
      </c>
      <c r="O27" s="2">
        <v>504</v>
      </c>
      <c r="P27" s="2" t="s">
        <v>96</v>
      </c>
      <c r="Q27" s="2">
        <v>478.8</v>
      </c>
      <c r="R27" s="2">
        <v>10.02</v>
      </c>
      <c r="S27" s="2">
        <v>488.82</v>
      </c>
      <c r="T27" s="2">
        <v>0.8</v>
      </c>
      <c r="U27" s="2">
        <v>489.62</v>
      </c>
      <c r="V27" s="2">
        <v>0.95</v>
      </c>
      <c r="W27" s="2">
        <v>0.96899999999999997</v>
      </c>
      <c r="X27" s="2">
        <v>0.97099999999999997</v>
      </c>
      <c r="Y27" s="2">
        <v>0.97099999999999997</v>
      </c>
      <c r="Z27" s="2">
        <v>0.95</v>
      </c>
      <c r="AA27" s="2">
        <v>0.96899999999999997</v>
      </c>
      <c r="AB27" s="2">
        <v>0.97099999999999997</v>
      </c>
      <c r="AC27" s="2">
        <v>0.97099999999999997</v>
      </c>
      <c r="AD27" s="2" t="s">
        <v>97</v>
      </c>
      <c r="AE27" s="2" t="s">
        <v>98</v>
      </c>
      <c r="AF27" s="2" t="s">
        <v>99</v>
      </c>
      <c r="AG27" s="2" t="s">
        <v>100</v>
      </c>
      <c r="AH27" s="2" t="s">
        <v>101</v>
      </c>
      <c r="AI27" s="2" t="s">
        <v>102</v>
      </c>
      <c r="AJ27" s="2" t="s">
        <v>103</v>
      </c>
      <c r="AK27" s="2" t="s">
        <v>104</v>
      </c>
      <c r="AL27" s="2" t="s">
        <v>105</v>
      </c>
      <c r="AM27" s="2" t="s">
        <v>236</v>
      </c>
      <c r="AN27" s="2">
        <v>0</v>
      </c>
      <c r="AO27" s="2">
        <v>78.34</v>
      </c>
      <c r="AP27" s="2">
        <v>0</v>
      </c>
      <c r="AQ27" s="2">
        <v>9.7899999999999991</v>
      </c>
      <c r="AR27" s="2">
        <v>0</v>
      </c>
      <c r="AS27" s="2">
        <v>0</v>
      </c>
      <c r="AT27" s="2">
        <v>0</v>
      </c>
      <c r="AU27" s="3">
        <v>46001</v>
      </c>
      <c r="AV27" s="2" t="s">
        <v>151</v>
      </c>
      <c r="AW27" s="2" t="s">
        <v>234</v>
      </c>
      <c r="AX27" s="2" t="s">
        <v>146</v>
      </c>
      <c r="AY27" s="2" t="s">
        <v>152</v>
      </c>
      <c r="AZ27" s="2" t="s">
        <v>129</v>
      </c>
      <c r="BA27" s="2" t="s">
        <v>112</v>
      </c>
      <c r="BB27" s="2" t="s">
        <v>113</v>
      </c>
      <c r="BC27" s="2" t="s">
        <v>114</v>
      </c>
      <c r="BD27" s="2" t="s">
        <v>115</v>
      </c>
      <c r="BE27" s="2" t="s">
        <v>363</v>
      </c>
      <c r="BF27" s="2" t="s">
        <v>116</v>
      </c>
      <c r="BG27" s="2"/>
      <c r="BH27" s="2" t="s">
        <v>205</v>
      </c>
      <c r="BI27" s="2"/>
      <c r="BJ27" s="2"/>
      <c r="BK27" s="2" t="s">
        <v>153</v>
      </c>
      <c r="BL27" s="2"/>
      <c r="BM27" s="2">
        <v>2026</v>
      </c>
      <c r="BN27" s="2" t="s">
        <v>119</v>
      </c>
      <c r="BO27" s="2" t="s">
        <v>120</v>
      </c>
    </row>
    <row r="28" spans="1:67" x14ac:dyDescent="0.3">
      <c r="A28" s="2">
        <v>8536501900</v>
      </c>
      <c r="B28" s="2" t="s">
        <v>131</v>
      </c>
      <c r="C28" s="2" t="s">
        <v>92</v>
      </c>
      <c r="D28" s="2" t="s">
        <v>237</v>
      </c>
      <c r="E28" s="3">
        <v>46031</v>
      </c>
      <c r="F28" s="3">
        <v>46035</v>
      </c>
      <c r="G28" s="2" t="s">
        <v>94</v>
      </c>
      <c r="H28" s="2">
        <v>20392800434</v>
      </c>
      <c r="I28" s="2" t="s">
        <v>95</v>
      </c>
      <c r="J28" s="2"/>
      <c r="K28" s="2">
        <v>44.51</v>
      </c>
      <c r="L28" s="2">
        <v>41.44</v>
      </c>
      <c r="M28" s="2">
        <v>336</v>
      </c>
      <c r="N28" s="2" t="s">
        <v>96</v>
      </c>
      <c r="O28" s="2">
        <v>336</v>
      </c>
      <c r="P28" s="2" t="s">
        <v>96</v>
      </c>
      <c r="Q28" s="2">
        <v>393.12</v>
      </c>
      <c r="R28" s="2">
        <v>8.23</v>
      </c>
      <c r="S28" s="2">
        <v>401.35</v>
      </c>
      <c r="T28" s="2">
        <v>0.66</v>
      </c>
      <c r="U28" s="2">
        <v>402.01</v>
      </c>
      <c r="V28" s="2">
        <v>1.17</v>
      </c>
      <c r="W28" s="2">
        <v>1.194</v>
      </c>
      <c r="X28" s="2">
        <v>1.196</v>
      </c>
      <c r="Y28" s="2">
        <v>1.196</v>
      </c>
      <c r="Z28" s="2">
        <v>1.17</v>
      </c>
      <c r="AA28" s="2">
        <v>1.194</v>
      </c>
      <c r="AB28" s="2">
        <v>1.196</v>
      </c>
      <c r="AC28" s="2">
        <v>1.196</v>
      </c>
      <c r="AD28" s="2" t="s">
        <v>97</v>
      </c>
      <c r="AE28" s="2" t="s">
        <v>98</v>
      </c>
      <c r="AF28" s="2" t="s">
        <v>99</v>
      </c>
      <c r="AG28" s="2" t="s">
        <v>100</v>
      </c>
      <c r="AH28" s="2" t="s">
        <v>101</v>
      </c>
      <c r="AI28" s="2" t="s">
        <v>102</v>
      </c>
      <c r="AJ28" s="2" t="s">
        <v>103</v>
      </c>
      <c r="AK28" s="2" t="s">
        <v>104</v>
      </c>
      <c r="AL28" s="2" t="s">
        <v>105</v>
      </c>
      <c r="AM28" s="2" t="s">
        <v>238</v>
      </c>
      <c r="AN28" s="2">
        <v>0</v>
      </c>
      <c r="AO28" s="2">
        <v>64.319999999999993</v>
      </c>
      <c r="AP28" s="2">
        <v>0</v>
      </c>
      <c r="AQ28" s="2">
        <v>8.0399999999999991</v>
      </c>
      <c r="AR28" s="2">
        <v>0</v>
      </c>
      <c r="AS28" s="2">
        <v>0</v>
      </c>
      <c r="AT28" s="2">
        <v>0</v>
      </c>
      <c r="AU28" s="3">
        <v>46001</v>
      </c>
      <c r="AV28" s="2" t="s">
        <v>156</v>
      </c>
      <c r="AW28" s="2" t="s">
        <v>234</v>
      </c>
      <c r="AX28" s="2" t="s">
        <v>146</v>
      </c>
      <c r="AY28" s="2" t="s">
        <v>157</v>
      </c>
      <c r="AZ28" s="2" t="s">
        <v>129</v>
      </c>
      <c r="BA28" s="2" t="s">
        <v>112</v>
      </c>
      <c r="BB28" s="2" t="s">
        <v>113</v>
      </c>
      <c r="BC28" s="2" t="s">
        <v>114</v>
      </c>
      <c r="BD28" s="2" t="s">
        <v>115</v>
      </c>
      <c r="BE28" s="2" t="s">
        <v>364</v>
      </c>
      <c r="BF28" s="2" t="s">
        <v>116</v>
      </c>
      <c r="BG28" s="2"/>
      <c r="BH28" s="2" t="s">
        <v>205</v>
      </c>
      <c r="BI28" s="2"/>
      <c r="BJ28" s="2"/>
      <c r="BK28" s="2" t="s">
        <v>158</v>
      </c>
      <c r="BL28" s="2"/>
      <c r="BM28" s="2">
        <v>2026</v>
      </c>
      <c r="BN28" s="2" t="s">
        <v>119</v>
      </c>
      <c r="BO28" s="2" t="s">
        <v>120</v>
      </c>
    </row>
    <row r="29" spans="1:67" x14ac:dyDescent="0.3">
      <c r="A29" s="2">
        <v>8536501900</v>
      </c>
      <c r="B29" s="2" t="s">
        <v>131</v>
      </c>
      <c r="C29" s="2" t="s">
        <v>92</v>
      </c>
      <c r="D29" s="2" t="s">
        <v>239</v>
      </c>
      <c r="E29" s="3">
        <v>46031</v>
      </c>
      <c r="F29" s="3">
        <v>46035</v>
      </c>
      <c r="G29" s="2" t="s">
        <v>94</v>
      </c>
      <c r="H29" s="2">
        <v>20392800434</v>
      </c>
      <c r="I29" s="2" t="s">
        <v>95</v>
      </c>
      <c r="J29" s="2"/>
      <c r="K29" s="2">
        <v>224.2</v>
      </c>
      <c r="L29" s="2">
        <v>208.76</v>
      </c>
      <c r="M29" s="2">
        <v>1800</v>
      </c>
      <c r="N29" s="2" t="s">
        <v>96</v>
      </c>
      <c r="O29" s="2">
        <v>1800</v>
      </c>
      <c r="P29" s="2" t="s">
        <v>96</v>
      </c>
      <c r="Q29" s="2">
        <v>1980</v>
      </c>
      <c r="R29" s="2">
        <v>41.46</v>
      </c>
      <c r="S29" s="2">
        <v>2021.46</v>
      </c>
      <c r="T29" s="2">
        <v>3.33</v>
      </c>
      <c r="U29" s="2">
        <v>2024.79</v>
      </c>
      <c r="V29" s="2">
        <v>1.1000000000000001</v>
      </c>
      <c r="W29" s="2">
        <v>1.123</v>
      </c>
      <c r="X29" s="2">
        <v>1.1240000000000001</v>
      </c>
      <c r="Y29" s="2">
        <v>1.1240000000000001</v>
      </c>
      <c r="Z29" s="2">
        <v>1.1000000000000001</v>
      </c>
      <c r="AA29" s="2">
        <v>1.123</v>
      </c>
      <c r="AB29" s="2">
        <v>1.1240000000000001</v>
      </c>
      <c r="AC29" s="2">
        <v>1.1240000000000001</v>
      </c>
      <c r="AD29" s="2" t="s">
        <v>97</v>
      </c>
      <c r="AE29" s="2" t="s">
        <v>98</v>
      </c>
      <c r="AF29" s="2" t="s">
        <v>99</v>
      </c>
      <c r="AG29" s="2" t="s">
        <v>100</v>
      </c>
      <c r="AH29" s="2" t="s">
        <v>101</v>
      </c>
      <c r="AI29" s="2" t="s">
        <v>102</v>
      </c>
      <c r="AJ29" s="2" t="s">
        <v>103</v>
      </c>
      <c r="AK29" s="2" t="s">
        <v>104</v>
      </c>
      <c r="AL29" s="2" t="s">
        <v>105</v>
      </c>
      <c r="AM29" s="2" t="s">
        <v>240</v>
      </c>
      <c r="AN29" s="2">
        <v>0</v>
      </c>
      <c r="AO29" s="2">
        <v>323.97000000000003</v>
      </c>
      <c r="AP29" s="2">
        <v>0</v>
      </c>
      <c r="AQ29" s="2">
        <v>40.5</v>
      </c>
      <c r="AR29" s="2">
        <v>0</v>
      </c>
      <c r="AS29" s="2">
        <v>0</v>
      </c>
      <c r="AT29" s="2">
        <v>0</v>
      </c>
      <c r="AU29" s="3">
        <v>46001</v>
      </c>
      <c r="AV29" s="2" t="s">
        <v>140</v>
      </c>
      <c r="AW29" s="2" t="s">
        <v>108</v>
      </c>
      <c r="AX29" s="2" t="s">
        <v>141</v>
      </c>
      <c r="AY29" s="2" t="s">
        <v>142</v>
      </c>
      <c r="AZ29" s="2" t="s">
        <v>111</v>
      </c>
      <c r="BA29" s="2" t="s">
        <v>112</v>
      </c>
      <c r="BB29" s="2" t="s">
        <v>113</v>
      </c>
      <c r="BC29" s="2" t="s">
        <v>114</v>
      </c>
      <c r="BD29" s="2" t="s">
        <v>115</v>
      </c>
      <c r="BE29" s="2" t="s">
        <v>362</v>
      </c>
      <c r="BF29" s="2" t="s">
        <v>116</v>
      </c>
      <c r="BG29" s="2" t="s">
        <v>117</v>
      </c>
      <c r="BH29" s="2" t="s">
        <v>118</v>
      </c>
      <c r="BI29" s="2"/>
      <c r="BJ29" s="2"/>
      <c r="BK29" s="2" t="s">
        <v>137</v>
      </c>
      <c r="BL29" s="2"/>
      <c r="BM29" s="2">
        <v>2026</v>
      </c>
      <c r="BN29" s="2" t="s">
        <v>119</v>
      </c>
      <c r="BO29" s="2" t="s">
        <v>120</v>
      </c>
    </row>
    <row r="30" spans="1:67" x14ac:dyDescent="0.3">
      <c r="A30" s="2">
        <v>8536501900</v>
      </c>
      <c r="B30" s="2" t="s">
        <v>131</v>
      </c>
      <c r="C30" s="2" t="s">
        <v>92</v>
      </c>
      <c r="D30" s="2" t="s">
        <v>241</v>
      </c>
      <c r="E30" s="3">
        <v>46031</v>
      </c>
      <c r="F30" s="3">
        <v>46035</v>
      </c>
      <c r="G30" s="2" t="s">
        <v>94</v>
      </c>
      <c r="H30" s="2">
        <v>20392800434</v>
      </c>
      <c r="I30" s="2" t="s">
        <v>95</v>
      </c>
      <c r="J30" s="2"/>
      <c r="K30" s="2">
        <v>28.15</v>
      </c>
      <c r="L30" s="2">
        <v>26.21</v>
      </c>
      <c r="M30" s="2">
        <v>336</v>
      </c>
      <c r="N30" s="2" t="s">
        <v>96</v>
      </c>
      <c r="O30" s="2">
        <v>336</v>
      </c>
      <c r="P30" s="2" t="s">
        <v>96</v>
      </c>
      <c r="Q30" s="2">
        <v>248.64</v>
      </c>
      <c r="R30" s="2">
        <v>5.2</v>
      </c>
      <c r="S30" s="2">
        <v>253.84</v>
      </c>
      <c r="T30" s="2">
        <v>0.41</v>
      </c>
      <c r="U30" s="2">
        <v>254.25</v>
      </c>
      <c r="V30" s="2">
        <v>0.74</v>
      </c>
      <c r="W30" s="2">
        <v>0.755</v>
      </c>
      <c r="X30" s="2">
        <v>0.75600000000000001</v>
      </c>
      <c r="Y30" s="2">
        <v>0.75600000000000001</v>
      </c>
      <c r="Z30" s="2">
        <v>0.74</v>
      </c>
      <c r="AA30" s="2">
        <v>0.755</v>
      </c>
      <c r="AB30" s="2">
        <v>0.75600000000000001</v>
      </c>
      <c r="AC30" s="2">
        <v>0.75600000000000001</v>
      </c>
      <c r="AD30" s="2" t="s">
        <v>97</v>
      </c>
      <c r="AE30" s="2" t="s">
        <v>98</v>
      </c>
      <c r="AF30" s="2" t="s">
        <v>99</v>
      </c>
      <c r="AG30" s="2" t="s">
        <v>100</v>
      </c>
      <c r="AH30" s="2" t="s">
        <v>101</v>
      </c>
      <c r="AI30" s="2" t="s">
        <v>102</v>
      </c>
      <c r="AJ30" s="2" t="s">
        <v>103</v>
      </c>
      <c r="AK30" s="2" t="s">
        <v>104</v>
      </c>
      <c r="AL30" s="2" t="s">
        <v>105</v>
      </c>
      <c r="AM30" s="2" t="s">
        <v>242</v>
      </c>
      <c r="AN30" s="2">
        <v>0</v>
      </c>
      <c r="AO30" s="2">
        <v>40.68</v>
      </c>
      <c r="AP30" s="2">
        <v>0</v>
      </c>
      <c r="AQ30" s="2">
        <v>5.09</v>
      </c>
      <c r="AR30" s="2">
        <v>0</v>
      </c>
      <c r="AS30" s="2">
        <v>0</v>
      </c>
      <c r="AT30" s="2">
        <v>0</v>
      </c>
      <c r="AU30" s="3">
        <v>46001</v>
      </c>
      <c r="AV30" s="2" t="s">
        <v>134</v>
      </c>
      <c r="AW30" s="2" t="s">
        <v>234</v>
      </c>
      <c r="AX30" s="2" t="s">
        <v>135</v>
      </c>
      <c r="AY30" s="2" t="s">
        <v>136</v>
      </c>
      <c r="AZ30" s="2" t="s">
        <v>129</v>
      </c>
      <c r="BA30" s="2" t="s">
        <v>112</v>
      </c>
      <c r="BB30" s="2" t="s">
        <v>113</v>
      </c>
      <c r="BC30" s="2" t="s">
        <v>114</v>
      </c>
      <c r="BD30" s="2" t="s">
        <v>115</v>
      </c>
      <c r="BE30" s="2" t="s">
        <v>362</v>
      </c>
      <c r="BF30" s="2" t="s">
        <v>116</v>
      </c>
      <c r="BG30" s="2"/>
      <c r="BH30" s="2" t="s">
        <v>205</v>
      </c>
      <c r="BI30" s="2"/>
      <c r="BJ30" s="2"/>
      <c r="BK30" s="2" t="s">
        <v>137</v>
      </c>
      <c r="BL30" s="2"/>
      <c r="BM30" s="2">
        <v>2026</v>
      </c>
      <c r="BN30" s="2" t="s">
        <v>119</v>
      </c>
      <c r="BO30" s="2" t="s">
        <v>120</v>
      </c>
    </row>
    <row r="31" spans="1:67" x14ac:dyDescent="0.3">
      <c r="A31" s="2">
        <v>8536501900</v>
      </c>
      <c r="B31" s="2" t="s">
        <v>131</v>
      </c>
      <c r="C31" s="2" t="s">
        <v>92</v>
      </c>
      <c r="D31" s="2" t="s">
        <v>243</v>
      </c>
      <c r="E31" s="3">
        <v>46031</v>
      </c>
      <c r="F31" s="3">
        <v>46035</v>
      </c>
      <c r="G31" s="2" t="s">
        <v>94</v>
      </c>
      <c r="H31" s="2">
        <v>20392800434</v>
      </c>
      <c r="I31" s="2" t="s">
        <v>95</v>
      </c>
      <c r="J31" s="2"/>
      <c r="K31" s="2">
        <v>285.33999999999997</v>
      </c>
      <c r="L31" s="2">
        <v>265.69</v>
      </c>
      <c r="M31" s="2">
        <v>2400</v>
      </c>
      <c r="N31" s="2" t="s">
        <v>96</v>
      </c>
      <c r="O31" s="2">
        <v>2400</v>
      </c>
      <c r="P31" s="2" t="s">
        <v>96</v>
      </c>
      <c r="Q31" s="2">
        <v>2520</v>
      </c>
      <c r="R31" s="2">
        <v>52.77</v>
      </c>
      <c r="S31" s="2">
        <v>2572.77</v>
      </c>
      <c r="T31" s="2">
        <v>4.24</v>
      </c>
      <c r="U31" s="2">
        <v>2577.0100000000002</v>
      </c>
      <c r="V31" s="2">
        <v>1.05</v>
      </c>
      <c r="W31" s="2">
        <v>1.071</v>
      </c>
      <c r="X31" s="2">
        <v>1.073</v>
      </c>
      <c r="Y31" s="2">
        <v>1.073</v>
      </c>
      <c r="Z31" s="2">
        <v>1.05</v>
      </c>
      <c r="AA31" s="2">
        <v>1.071</v>
      </c>
      <c r="AB31" s="2">
        <v>1.073</v>
      </c>
      <c r="AC31" s="2">
        <v>1.073</v>
      </c>
      <c r="AD31" s="2" t="s">
        <v>97</v>
      </c>
      <c r="AE31" s="2" t="s">
        <v>98</v>
      </c>
      <c r="AF31" s="2" t="s">
        <v>99</v>
      </c>
      <c r="AG31" s="2" t="s">
        <v>100</v>
      </c>
      <c r="AH31" s="2" t="s">
        <v>101</v>
      </c>
      <c r="AI31" s="2" t="s">
        <v>102</v>
      </c>
      <c r="AJ31" s="2" t="s">
        <v>103</v>
      </c>
      <c r="AK31" s="2" t="s">
        <v>104</v>
      </c>
      <c r="AL31" s="2" t="s">
        <v>105</v>
      </c>
      <c r="AM31" s="2" t="s">
        <v>244</v>
      </c>
      <c r="AN31" s="2">
        <v>0</v>
      </c>
      <c r="AO31" s="2">
        <v>412.32</v>
      </c>
      <c r="AP31" s="2">
        <v>0</v>
      </c>
      <c r="AQ31" s="2">
        <v>51.54</v>
      </c>
      <c r="AR31" s="2">
        <v>0</v>
      </c>
      <c r="AS31" s="2">
        <v>0</v>
      </c>
      <c r="AT31" s="2">
        <v>0</v>
      </c>
      <c r="AU31" s="3">
        <v>46001</v>
      </c>
      <c r="AV31" s="2" t="s">
        <v>173</v>
      </c>
      <c r="AW31" s="2" t="s">
        <v>108</v>
      </c>
      <c r="AX31" s="2" t="s">
        <v>174</v>
      </c>
      <c r="AY31" s="2" t="s">
        <v>175</v>
      </c>
      <c r="AZ31" s="2" t="s">
        <v>111</v>
      </c>
      <c r="BA31" s="2" t="s">
        <v>112</v>
      </c>
      <c r="BB31" s="2" t="s">
        <v>113</v>
      </c>
      <c r="BC31" s="2" t="s">
        <v>114</v>
      </c>
      <c r="BD31" s="2" t="s">
        <v>115</v>
      </c>
      <c r="BE31" s="2" t="s">
        <v>363</v>
      </c>
      <c r="BF31" s="2" t="s">
        <v>116</v>
      </c>
      <c r="BG31" s="2"/>
      <c r="BH31" s="2" t="s">
        <v>118</v>
      </c>
      <c r="BI31" s="2"/>
      <c r="BJ31" s="2"/>
      <c r="BK31" s="2"/>
      <c r="BL31" s="2"/>
      <c r="BM31" s="2">
        <v>2026</v>
      </c>
      <c r="BN31" s="2" t="s">
        <v>119</v>
      </c>
      <c r="BO31" s="2" t="s">
        <v>120</v>
      </c>
    </row>
    <row r="32" spans="1:67" x14ac:dyDescent="0.3">
      <c r="A32" s="2">
        <v>8536501900</v>
      </c>
      <c r="B32" s="2" t="s">
        <v>131</v>
      </c>
      <c r="C32" s="2" t="s">
        <v>92</v>
      </c>
      <c r="D32" s="2" t="s">
        <v>245</v>
      </c>
      <c r="E32" s="3">
        <v>46031</v>
      </c>
      <c r="F32" s="3">
        <v>46035</v>
      </c>
      <c r="G32" s="2" t="s">
        <v>94</v>
      </c>
      <c r="H32" s="2">
        <v>20392800434</v>
      </c>
      <c r="I32" s="2" t="s">
        <v>95</v>
      </c>
      <c r="J32" s="2"/>
      <c r="K32" s="2">
        <v>375.03</v>
      </c>
      <c r="L32" s="2">
        <v>349.19</v>
      </c>
      <c r="M32" s="2">
        <v>4800</v>
      </c>
      <c r="N32" s="2" t="s">
        <v>96</v>
      </c>
      <c r="O32" s="2">
        <v>4800</v>
      </c>
      <c r="P32" s="2" t="s">
        <v>96</v>
      </c>
      <c r="Q32" s="2">
        <v>3312</v>
      </c>
      <c r="R32" s="2">
        <v>69.36</v>
      </c>
      <c r="S32" s="2">
        <v>3381.36</v>
      </c>
      <c r="T32" s="2">
        <v>5.57</v>
      </c>
      <c r="U32" s="2">
        <v>3386.93</v>
      </c>
      <c r="V32" s="2">
        <v>0.69</v>
      </c>
      <c r="W32" s="2">
        <v>0.70399999999999996</v>
      </c>
      <c r="X32" s="2">
        <v>0.70499999999999996</v>
      </c>
      <c r="Y32" s="2">
        <v>0.70499999999999996</v>
      </c>
      <c r="Z32" s="2">
        <v>0.69</v>
      </c>
      <c r="AA32" s="2">
        <v>0.70399999999999996</v>
      </c>
      <c r="AB32" s="2">
        <v>0.70499999999999996</v>
      </c>
      <c r="AC32" s="2">
        <v>0.70499999999999996</v>
      </c>
      <c r="AD32" s="2" t="s">
        <v>97</v>
      </c>
      <c r="AE32" s="2" t="s">
        <v>98</v>
      </c>
      <c r="AF32" s="2" t="s">
        <v>99</v>
      </c>
      <c r="AG32" s="2" t="s">
        <v>100</v>
      </c>
      <c r="AH32" s="2" t="s">
        <v>101</v>
      </c>
      <c r="AI32" s="2" t="s">
        <v>102</v>
      </c>
      <c r="AJ32" s="2" t="s">
        <v>103</v>
      </c>
      <c r="AK32" s="2" t="s">
        <v>104</v>
      </c>
      <c r="AL32" s="2" t="s">
        <v>105</v>
      </c>
      <c r="AM32" s="2" t="s">
        <v>246</v>
      </c>
      <c r="AN32" s="2">
        <v>0</v>
      </c>
      <c r="AO32" s="2">
        <v>541.91</v>
      </c>
      <c r="AP32" s="2">
        <v>0</v>
      </c>
      <c r="AQ32" s="2">
        <v>67.739999999999995</v>
      </c>
      <c r="AR32" s="2">
        <v>0</v>
      </c>
      <c r="AS32" s="2">
        <v>0</v>
      </c>
      <c r="AT32" s="2">
        <v>0</v>
      </c>
      <c r="AU32" s="3">
        <v>46001</v>
      </c>
      <c r="AV32" s="2" t="s">
        <v>247</v>
      </c>
      <c r="AW32" s="2" t="s">
        <v>108</v>
      </c>
      <c r="AX32" s="2" t="s">
        <v>146</v>
      </c>
      <c r="AY32" s="2" t="s">
        <v>248</v>
      </c>
      <c r="AZ32" s="2" t="s">
        <v>111</v>
      </c>
      <c r="BA32" s="2" t="s">
        <v>112</v>
      </c>
      <c r="BB32" s="2" t="s">
        <v>113</v>
      </c>
      <c r="BC32" s="2" t="s">
        <v>114</v>
      </c>
      <c r="BD32" s="2" t="s">
        <v>115</v>
      </c>
      <c r="BE32" s="2" t="s">
        <v>362</v>
      </c>
      <c r="BF32" s="2" t="s">
        <v>116</v>
      </c>
      <c r="BG32" s="2" t="s">
        <v>117</v>
      </c>
      <c r="BH32" s="2" t="s">
        <v>118</v>
      </c>
      <c r="BI32" s="2"/>
      <c r="BJ32" s="2"/>
      <c r="BK32" s="2" t="s">
        <v>148</v>
      </c>
      <c r="BL32" s="2"/>
      <c r="BM32" s="2">
        <v>2026</v>
      </c>
      <c r="BN32" s="2" t="s">
        <v>119</v>
      </c>
      <c r="BO32" s="2" t="s">
        <v>120</v>
      </c>
    </row>
    <row r="33" spans="1:67" x14ac:dyDescent="0.3">
      <c r="A33" s="2">
        <v>8536501900</v>
      </c>
      <c r="B33" s="2" t="s">
        <v>131</v>
      </c>
      <c r="C33" s="2" t="s">
        <v>92</v>
      </c>
      <c r="D33" s="2" t="s">
        <v>249</v>
      </c>
      <c r="E33" s="3">
        <v>46031</v>
      </c>
      <c r="F33" s="3">
        <v>46035</v>
      </c>
      <c r="G33" s="2" t="s">
        <v>94</v>
      </c>
      <c r="H33" s="2">
        <v>20392800434</v>
      </c>
      <c r="I33" s="2" t="s">
        <v>95</v>
      </c>
      <c r="J33" s="2"/>
      <c r="K33" s="2">
        <v>229.18</v>
      </c>
      <c r="L33" s="2">
        <v>213.39</v>
      </c>
      <c r="M33" s="2">
        <v>2200</v>
      </c>
      <c r="N33" s="2" t="s">
        <v>96</v>
      </c>
      <c r="O33" s="2">
        <v>2200</v>
      </c>
      <c r="P33" s="2" t="s">
        <v>96</v>
      </c>
      <c r="Q33" s="2">
        <v>2024</v>
      </c>
      <c r="R33" s="2">
        <v>42.38</v>
      </c>
      <c r="S33" s="2">
        <v>2066.38</v>
      </c>
      <c r="T33" s="2">
        <v>3.4</v>
      </c>
      <c r="U33" s="2">
        <v>2069.7800000000002</v>
      </c>
      <c r="V33" s="2">
        <v>0.92</v>
      </c>
      <c r="W33" s="2">
        <v>0.93899999999999995</v>
      </c>
      <c r="X33" s="2">
        <v>0.94</v>
      </c>
      <c r="Y33" s="2">
        <v>0.94</v>
      </c>
      <c r="Z33" s="2">
        <v>0.92</v>
      </c>
      <c r="AA33" s="2">
        <v>0.93899999999999995</v>
      </c>
      <c r="AB33" s="2">
        <v>0.94</v>
      </c>
      <c r="AC33" s="2">
        <v>0.94</v>
      </c>
      <c r="AD33" s="2" t="s">
        <v>97</v>
      </c>
      <c r="AE33" s="2" t="s">
        <v>98</v>
      </c>
      <c r="AF33" s="2" t="s">
        <v>99</v>
      </c>
      <c r="AG33" s="2" t="s">
        <v>100</v>
      </c>
      <c r="AH33" s="2" t="s">
        <v>101</v>
      </c>
      <c r="AI33" s="2" t="s">
        <v>102</v>
      </c>
      <c r="AJ33" s="2" t="s">
        <v>103</v>
      </c>
      <c r="AK33" s="2" t="s">
        <v>104</v>
      </c>
      <c r="AL33" s="2" t="s">
        <v>105</v>
      </c>
      <c r="AM33" s="2" t="s">
        <v>250</v>
      </c>
      <c r="AN33" s="2">
        <v>0</v>
      </c>
      <c r="AO33" s="2">
        <v>331.17</v>
      </c>
      <c r="AP33" s="2">
        <v>0</v>
      </c>
      <c r="AQ33" s="2">
        <v>41.4</v>
      </c>
      <c r="AR33" s="2">
        <v>0</v>
      </c>
      <c r="AS33" s="2">
        <v>0</v>
      </c>
      <c r="AT33" s="2">
        <v>0</v>
      </c>
      <c r="AU33" s="3">
        <v>46001</v>
      </c>
      <c r="AV33" s="2" t="s">
        <v>251</v>
      </c>
      <c r="AW33" s="2" t="s">
        <v>108</v>
      </c>
      <c r="AX33" s="2" t="s">
        <v>146</v>
      </c>
      <c r="AY33" s="2" t="s">
        <v>252</v>
      </c>
      <c r="AZ33" s="2" t="s">
        <v>111</v>
      </c>
      <c r="BA33" s="2" t="s">
        <v>112</v>
      </c>
      <c r="BB33" s="2" t="s">
        <v>113</v>
      </c>
      <c r="BC33" s="2" t="s">
        <v>114</v>
      </c>
      <c r="BD33" s="2" t="s">
        <v>115</v>
      </c>
      <c r="BE33" s="2" t="s">
        <v>363</v>
      </c>
      <c r="BF33" s="2" t="s">
        <v>116</v>
      </c>
      <c r="BG33" s="2" t="s">
        <v>117</v>
      </c>
      <c r="BH33" s="2" t="s">
        <v>118</v>
      </c>
      <c r="BI33" s="2"/>
      <c r="BJ33" s="2"/>
      <c r="BK33" s="2" t="s">
        <v>153</v>
      </c>
      <c r="BL33" s="2"/>
      <c r="BM33" s="2">
        <v>2026</v>
      </c>
      <c r="BN33" s="2" t="s">
        <v>119</v>
      </c>
      <c r="BO33" s="2" t="s">
        <v>120</v>
      </c>
    </row>
    <row r="34" spans="1:67" x14ac:dyDescent="0.3">
      <c r="A34" s="2">
        <v>8536501900</v>
      </c>
      <c r="B34" s="2" t="s">
        <v>131</v>
      </c>
      <c r="C34" s="2" t="s">
        <v>92</v>
      </c>
      <c r="D34" s="2" t="s">
        <v>253</v>
      </c>
      <c r="E34" s="3">
        <v>46031</v>
      </c>
      <c r="F34" s="3">
        <v>46035</v>
      </c>
      <c r="G34" s="2" t="s">
        <v>94</v>
      </c>
      <c r="H34" s="2">
        <v>20392800434</v>
      </c>
      <c r="I34" s="2" t="s">
        <v>95</v>
      </c>
      <c r="J34" s="2"/>
      <c r="K34" s="2">
        <v>165.77</v>
      </c>
      <c r="L34" s="2">
        <v>154.35</v>
      </c>
      <c r="M34" s="2">
        <v>1200</v>
      </c>
      <c r="N34" s="2" t="s">
        <v>96</v>
      </c>
      <c r="O34" s="2">
        <v>1200</v>
      </c>
      <c r="P34" s="2" t="s">
        <v>96</v>
      </c>
      <c r="Q34" s="2">
        <v>1464</v>
      </c>
      <c r="R34" s="2">
        <v>30.66</v>
      </c>
      <c r="S34" s="2">
        <v>1494.66</v>
      </c>
      <c r="T34" s="2">
        <v>2.46</v>
      </c>
      <c r="U34" s="2">
        <v>1497.12</v>
      </c>
      <c r="V34" s="2">
        <v>1.22</v>
      </c>
      <c r="W34" s="2">
        <v>1.2450000000000001</v>
      </c>
      <c r="X34" s="2">
        <v>1.2470000000000001</v>
      </c>
      <c r="Y34" s="2">
        <v>1.2470000000000001</v>
      </c>
      <c r="Z34" s="2">
        <v>1.22</v>
      </c>
      <c r="AA34" s="2">
        <v>1.2450000000000001</v>
      </c>
      <c r="AB34" s="2">
        <v>1.2470000000000001</v>
      </c>
      <c r="AC34" s="2">
        <v>1.2470000000000001</v>
      </c>
      <c r="AD34" s="2" t="s">
        <v>97</v>
      </c>
      <c r="AE34" s="2" t="s">
        <v>98</v>
      </c>
      <c r="AF34" s="2" t="s">
        <v>99</v>
      </c>
      <c r="AG34" s="2" t="s">
        <v>100</v>
      </c>
      <c r="AH34" s="2" t="s">
        <v>101</v>
      </c>
      <c r="AI34" s="2" t="s">
        <v>102</v>
      </c>
      <c r="AJ34" s="2" t="s">
        <v>103</v>
      </c>
      <c r="AK34" s="2" t="s">
        <v>104</v>
      </c>
      <c r="AL34" s="2" t="s">
        <v>105</v>
      </c>
      <c r="AM34" s="2" t="s">
        <v>254</v>
      </c>
      <c r="AN34" s="2">
        <v>0</v>
      </c>
      <c r="AO34" s="2">
        <v>239.54</v>
      </c>
      <c r="AP34" s="2">
        <v>0</v>
      </c>
      <c r="AQ34" s="2">
        <v>29.94</v>
      </c>
      <c r="AR34" s="2">
        <v>0</v>
      </c>
      <c r="AS34" s="2">
        <v>0</v>
      </c>
      <c r="AT34" s="2">
        <v>0</v>
      </c>
      <c r="AU34" s="3">
        <v>46001</v>
      </c>
      <c r="AV34" s="2" t="s">
        <v>255</v>
      </c>
      <c r="AW34" s="2" t="s">
        <v>108</v>
      </c>
      <c r="AX34" s="2" t="s">
        <v>146</v>
      </c>
      <c r="AY34" s="2" t="s">
        <v>256</v>
      </c>
      <c r="AZ34" s="2" t="s">
        <v>111</v>
      </c>
      <c r="BA34" s="2" t="s">
        <v>112</v>
      </c>
      <c r="BB34" s="2" t="s">
        <v>113</v>
      </c>
      <c r="BC34" s="2" t="s">
        <v>114</v>
      </c>
      <c r="BD34" s="2" t="s">
        <v>115</v>
      </c>
      <c r="BE34" s="2" t="s">
        <v>364</v>
      </c>
      <c r="BF34" s="2" t="s">
        <v>116</v>
      </c>
      <c r="BG34" s="2" t="s">
        <v>117</v>
      </c>
      <c r="BH34" s="2" t="s">
        <v>118</v>
      </c>
      <c r="BI34" s="2"/>
      <c r="BJ34" s="2"/>
      <c r="BK34" s="2" t="s">
        <v>158</v>
      </c>
      <c r="BL34" s="2"/>
      <c r="BM34" s="2">
        <v>2026</v>
      </c>
      <c r="BN34" s="2" t="s">
        <v>119</v>
      </c>
      <c r="BO34" s="2" t="s">
        <v>120</v>
      </c>
    </row>
    <row r="35" spans="1:67" x14ac:dyDescent="0.3">
      <c r="A35" s="2">
        <v>8536501900</v>
      </c>
      <c r="B35" s="2" t="s">
        <v>131</v>
      </c>
      <c r="C35" s="2" t="s">
        <v>92</v>
      </c>
      <c r="D35" s="2" t="s">
        <v>257</v>
      </c>
      <c r="E35" s="3">
        <v>46031</v>
      </c>
      <c r="F35" s="3">
        <v>46035</v>
      </c>
      <c r="G35" s="2" t="s">
        <v>94</v>
      </c>
      <c r="H35" s="2">
        <v>20392800434</v>
      </c>
      <c r="I35" s="2" t="s">
        <v>95</v>
      </c>
      <c r="J35" s="2"/>
      <c r="K35" s="2">
        <v>181.85</v>
      </c>
      <c r="L35" s="2">
        <v>169.32</v>
      </c>
      <c r="M35" s="2">
        <v>2200</v>
      </c>
      <c r="N35" s="2" t="s">
        <v>96</v>
      </c>
      <c r="O35" s="2">
        <v>2200</v>
      </c>
      <c r="P35" s="2" t="s">
        <v>96</v>
      </c>
      <c r="Q35" s="2">
        <v>1606</v>
      </c>
      <c r="R35" s="2">
        <v>33.630000000000003</v>
      </c>
      <c r="S35" s="2">
        <v>1639.63</v>
      </c>
      <c r="T35" s="2">
        <v>2.7</v>
      </c>
      <c r="U35" s="2">
        <v>1642.33</v>
      </c>
      <c r="V35" s="2">
        <v>0.73</v>
      </c>
      <c r="W35" s="2">
        <v>0.745</v>
      </c>
      <c r="X35" s="2">
        <v>0.746</v>
      </c>
      <c r="Y35" s="2">
        <v>0.746</v>
      </c>
      <c r="Z35" s="2">
        <v>0.73</v>
      </c>
      <c r="AA35" s="2">
        <v>0.745</v>
      </c>
      <c r="AB35" s="2">
        <v>0.746</v>
      </c>
      <c r="AC35" s="2">
        <v>0.746</v>
      </c>
      <c r="AD35" s="2" t="s">
        <v>97</v>
      </c>
      <c r="AE35" s="2" t="s">
        <v>98</v>
      </c>
      <c r="AF35" s="2" t="s">
        <v>99</v>
      </c>
      <c r="AG35" s="2" t="s">
        <v>100</v>
      </c>
      <c r="AH35" s="2" t="s">
        <v>101</v>
      </c>
      <c r="AI35" s="2" t="s">
        <v>102</v>
      </c>
      <c r="AJ35" s="2" t="s">
        <v>103</v>
      </c>
      <c r="AK35" s="2" t="s">
        <v>104</v>
      </c>
      <c r="AL35" s="2" t="s">
        <v>105</v>
      </c>
      <c r="AM35" s="2" t="s">
        <v>258</v>
      </c>
      <c r="AN35" s="2">
        <v>0</v>
      </c>
      <c r="AO35" s="2">
        <v>262.77</v>
      </c>
      <c r="AP35" s="2">
        <v>0</v>
      </c>
      <c r="AQ35" s="2">
        <v>32.85</v>
      </c>
      <c r="AR35" s="2">
        <v>0</v>
      </c>
      <c r="AS35" s="2">
        <v>0</v>
      </c>
      <c r="AT35" s="2">
        <v>0</v>
      </c>
      <c r="AU35" s="3">
        <v>46001</v>
      </c>
      <c r="AV35" s="2" t="s">
        <v>178</v>
      </c>
      <c r="AW35" s="2" t="s">
        <v>108</v>
      </c>
      <c r="AX35" s="2" t="s">
        <v>146</v>
      </c>
      <c r="AY35" s="2" t="s">
        <v>179</v>
      </c>
      <c r="AZ35" s="2" t="s">
        <v>111</v>
      </c>
      <c r="BA35" s="2" t="s">
        <v>112</v>
      </c>
      <c r="BB35" s="2" t="s">
        <v>113</v>
      </c>
      <c r="BC35" s="2" t="s">
        <v>114</v>
      </c>
      <c r="BD35" s="2" t="s">
        <v>115</v>
      </c>
      <c r="BE35" s="2" t="s">
        <v>362</v>
      </c>
      <c r="BF35" s="2" t="s">
        <v>116</v>
      </c>
      <c r="BG35" s="2" t="s">
        <v>117</v>
      </c>
      <c r="BH35" s="2" t="s">
        <v>118</v>
      </c>
      <c r="BI35" s="2"/>
      <c r="BJ35" s="2"/>
      <c r="BK35" s="2"/>
      <c r="BL35" s="2"/>
      <c r="BM35" s="2">
        <v>2026</v>
      </c>
      <c r="BN35" s="2" t="s">
        <v>119</v>
      </c>
      <c r="BO35" s="2" t="s">
        <v>120</v>
      </c>
    </row>
    <row r="36" spans="1:67" x14ac:dyDescent="0.3">
      <c r="A36" s="2">
        <v>8536509000</v>
      </c>
      <c r="B36" s="2" t="s">
        <v>259</v>
      </c>
      <c r="C36" s="2" t="s">
        <v>92</v>
      </c>
      <c r="D36" s="2" t="s">
        <v>260</v>
      </c>
      <c r="E36" s="3">
        <v>46031</v>
      </c>
      <c r="F36" s="3">
        <v>46035</v>
      </c>
      <c r="G36" s="2" t="s">
        <v>94</v>
      </c>
      <c r="H36" s="2">
        <v>20392800434</v>
      </c>
      <c r="I36" s="2" t="s">
        <v>95</v>
      </c>
      <c r="J36" s="2"/>
      <c r="K36" s="2">
        <v>26.83</v>
      </c>
      <c r="L36" s="2">
        <v>24.98</v>
      </c>
      <c r="M36" s="2">
        <v>100</v>
      </c>
      <c r="N36" s="2" t="s">
        <v>96</v>
      </c>
      <c r="O36" s="2">
        <v>100</v>
      </c>
      <c r="P36" s="2" t="s">
        <v>96</v>
      </c>
      <c r="Q36" s="2">
        <v>237</v>
      </c>
      <c r="R36" s="2">
        <v>4.96</v>
      </c>
      <c r="S36" s="2">
        <v>241.96</v>
      </c>
      <c r="T36" s="2">
        <v>0.39</v>
      </c>
      <c r="U36" s="2">
        <v>242.35</v>
      </c>
      <c r="V36" s="2">
        <v>2.37</v>
      </c>
      <c r="W36" s="2">
        <v>2.419</v>
      </c>
      <c r="X36" s="2">
        <v>2.423</v>
      </c>
      <c r="Y36" s="2">
        <v>2.423</v>
      </c>
      <c r="Z36" s="2">
        <v>2.37</v>
      </c>
      <c r="AA36" s="2">
        <v>2.419</v>
      </c>
      <c r="AB36" s="2">
        <v>2.423</v>
      </c>
      <c r="AC36" s="2">
        <v>2.423</v>
      </c>
      <c r="AD36" s="2" t="s">
        <v>97</v>
      </c>
      <c r="AE36" s="2" t="s">
        <v>98</v>
      </c>
      <c r="AF36" s="2" t="s">
        <v>99</v>
      </c>
      <c r="AG36" s="2" t="s">
        <v>100</v>
      </c>
      <c r="AH36" s="2" t="s">
        <v>101</v>
      </c>
      <c r="AI36" s="2" t="s">
        <v>102</v>
      </c>
      <c r="AJ36" s="2" t="s">
        <v>103</v>
      </c>
      <c r="AK36" s="2" t="s">
        <v>104</v>
      </c>
      <c r="AL36" s="2" t="s">
        <v>105</v>
      </c>
      <c r="AM36" s="2" t="s">
        <v>261</v>
      </c>
      <c r="AN36" s="2">
        <v>0</v>
      </c>
      <c r="AO36" s="2">
        <v>38.78</v>
      </c>
      <c r="AP36" s="2">
        <v>0</v>
      </c>
      <c r="AQ36" s="2">
        <v>4.8499999999999996</v>
      </c>
      <c r="AR36" s="2">
        <v>0</v>
      </c>
      <c r="AS36" s="2">
        <v>0</v>
      </c>
      <c r="AT36" s="2">
        <v>0</v>
      </c>
      <c r="AU36" s="3">
        <v>46001</v>
      </c>
      <c r="AV36" s="2" t="s">
        <v>262</v>
      </c>
      <c r="AW36" s="2" t="s">
        <v>123</v>
      </c>
      <c r="AX36" s="2" t="s">
        <v>263</v>
      </c>
      <c r="AY36" s="2" t="s">
        <v>264</v>
      </c>
      <c r="AZ36" s="2" t="s">
        <v>111</v>
      </c>
      <c r="BA36" s="2" t="s">
        <v>112</v>
      </c>
      <c r="BB36" s="2" t="s">
        <v>113</v>
      </c>
      <c r="BC36" s="2" t="s">
        <v>114</v>
      </c>
      <c r="BD36" s="2" t="s">
        <v>115</v>
      </c>
      <c r="BE36" s="2" t="s">
        <v>365</v>
      </c>
      <c r="BF36" s="2" t="s">
        <v>116</v>
      </c>
      <c r="BG36" s="2" t="s">
        <v>117</v>
      </c>
      <c r="BH36" s="2" t="s">
        <v>124</v>
      </c>
      <c r="BI36" s="2"/>
      <c r="BJ36" s="2"/>
      <c r="BK36" s="2" t="s">
        <v>265</v>
      </c>
      <c r="BL36" s="2"/>
      <c r="BM36" s="2">
        <v>2026</v>
      </c>
      <c r="BN36" s="2" t="s">
        <v>119</v>
      </c>
      <c r="BO36" s="2" t="s">
        <v>120</v>
      </c>
    </row>
    <row r="37" spans="1:67" x14ac:dyDescent="0.3">
      <c r="A37" s="2">
        <v>8536509000</v>
      </c>
      <c r="B37" s="2" t="s">
        <v>259</v>
      </c>
      <c r="C37" s="2" t="s">
        <v>92</v>
      </c>
      <c r="D37" s="2" t="s">
        <v>266</v>
      </c>
      <c r="E37" s="3">
        <v>46031</v>
      </c>
      <c r="F37" s="3">
        <v>46035</v>
      </c>
      <c r="G37" s="2" t="s">
        <v>94</v>
      </c>
      <c r="H37" s="2">
        <v>20392800434</v>
      </c>
      <c r="I37" s="2" t="s">
        <v>95</v>
      </c>
      <c r="J37" s="2"/>
      <c r="K37" s="2">
        <v>404.01</v>
      </c>
      <c r="L37" s="2">
        <v>376.19</v>
      </c>
      <c r="M37" s="2">
        <v>1600</v>
      </c>
      <c r="N37" s="2" t="s">
        <v>96</v>
      </c>
      <c r="O37" s="2">
        <v>1600</v>
      </c>
      <c r="P37" s="2" t="s">
        <v>96</v>
      </c>
      <c r="Q37" s="2">
        <v>3568</v>
      </c>
      <c r="R37" s="2">
        <v>74.72</v>
      </c>
      <c r="S37" s="2">
        <v>3642.72</v>
      </c>
      <c r="T37" s="2">
        <v>6.01</v>
      </c>
      <c r="U37" s="2">
        <v>3648.73</v>
      </c>
      <c r="V37" s="2">
        <v>2.23</v>
      </c>
      <c r="W37" s="2">
        <v>2.2759999999999998</v>
      </c>
      <c r="X37" s="2">
        <v>2.2799999999999998</v>
      </c>
      <c r="Y37" s="2">
        <v>2.2799999999999998</v>
      </c>
      <c r="Z37" s="2">
        <v>2.23</v>
      </c>
      <c r="AA37" s="2">
        <v>2.2759999999999998</v>
      </c>
      <c r="AB37" s="2">
        <v>2.2799999999999998</v>
      </c>
      <c r="AC37" s="2">
        <v>2.2799999999999998</v>
      </c>
      <c r="AD37" s="2" t="s">
        <v>97</v>
      </c>
      <c r="AE37" s="2" t="s">
        <v>98</v>
      </c>
      <c r="AF37" s="2" t="s">
        <v>99</v>
      </c>
      <c r="AG37" s="2" t="s">
        <v>100</v>
      </c>
      <c r="AH37" s="2" t="s">
        <v>101</v>
      </c>
      <c r="AI37" s="2" t="s">
        <v>102</v>
      </c>
      <c r="AJ37" s="2" t="s">
        <v>103</v>
      </c>
      <c r="AK37" s="2" t="s">
        <v>104</v>
      </c>
      <c r="AL37" s="2" t="s">
        <v>105</v>
      </c>
      <c r="AM37" s="2" t="s">
        <v>267</v>
      </c>
      <c r="AN37" s="2">
        <v>0</v>
      </c>
      <c r="AO37" s="2">
        <v>583.79999999999995</v>
      </c>
      <c r="AP37" s="2">
        <v>0</v>
      </c>
      <c r="AQ37" s="2">
        <v>72.97</v>
      </c>
      <c r="AR37" s="2">
        <v>0</v>
      </c>
      <c r="AS37" s="2">
        <v>0</v>
      </c>
      <c r="AT37" s="2">
        <v>0</v>
      </c>
      <c r="AU37" s="3">
        <v>46001</v>
      </c>
      <c r="AV37" s="2" t="s">
        <v>262</v>
      </c>
      <c r="AW37" s="2" t="s">
        <v>108</v>
      </c>
      <c r="AX37" s="2" t="s">
        <v>263</v>
      </c>
      <c r="AY37" s="2" t="s">
        <v>264</v>
      </c>
      <c r="AZ37" s="2" t="s">
        <v>111</v>
      </c>
      <c r="BA37" s="2" t="s">
        <v>112</v>
      </c>
      <c r="BB37" s="2" t="s">
        <v>113</v>
      </c>
      <c r="BC37" s="2" t="s">
        <v>114</v>
      </c>
      <c r="BD37" s="2" t="s">
        <v>115</v>
      </c>
      <c r="BE37" s="2" t="s">
        <v>365</v>
      </c>
      <c r="BF37" s="2" t="s">
        <v>116</v>
      </c>
      <c r="BG37" s="2" t="s">
        <v>117</v>
      </c>
      <c r="BH37" s="2" t="s">
        <v>118</v>
      </c>
      <c r="BI37" s="2"/>
      <c r="BJ37" s="2"/>
      <c r="BK37" s="2" t="s">
        <v>265</v>
      </c>
      <c r="BL37" s="2"/>
      <c r="BM37" s="2">
        <v>2026</v>
      </c>
      <c r="BN37" s="2" t="s">
        <v>119</v>
      </c>
      <c r="BO37" s="2" t="s">
        <v>120</v>
      </c>
    </row>
    <row r="38" spans="1:67" x14ac:dyDescent="0.3">
      <c r="A38" s="2">
        <v>8536690000</v>
      </c>
      <c r="B38" s="2" t="s">
        <v>268</v>
      </c>
      <c r="C38" s="2" t="s">
        <v>92</v>
      </c>
      <c r="D38" s="2" t="s">
        <v>269</v>
      </c>
      <c r="E38" s="3">
        <v>46031</v>
      </c>
      <c r="F38" s="3">
        <v>46035</v>
      </c>
      <c r="G38" s="2" t="s">
        <v>94</v>
      </c>
      <c r="H38" s="2">
        <v>20392800434</v>
      </c>
      <c r="I38" s="2" t="s">
        <v>95</v>
      </c>
      <c r="J38" s="2"/>
      <c r="K38" s="2">
        <v>27.39</v>
      </c>
      <c r="L38" s="2">
        <v>25.5</v>
      </c>
      <c r="M38" s="2">
        <v>336</v>
      </c>
      <c r="N38" s="2" t="s">
        <v>96</v>
      </c>
      <c r="O38" s="2">
        <v>336</v>
      </c>
      <c r="P38" s="2" t="s">
        <v>96</v>
      </c>
      <c r="Q38" s="2">
        <v>241.92</v>
      </c>
      <c r="R38" s="2">
        <v>5.0599999999999996</v>
      </c>
      <c r="S38" s="2">
        <v>246.98</v>
      </c>
      <c r="T38" s="2">
        <v>0.4</v>
      </c>
      <c r="U38" s="2">
        <v>247.38</v>
      </c>
      <c r="V38" s="2">
        <v>0.72</v>
      </c>
      <c r="W38" s="2">
        <v>0.73499999999999999</v>
      </c>
      <c r="X38" s="2">
        <v>0.73599999999999999</v>
      </c>
      <c r="Y38" s="2">
        <v>0.73599999999999999</v>
      </c>
      <c r="Z38" s="2">
        <v>0.72</v>
      </c>
      <c r="AA38" s="2">
        <v>0.73499999999999999</v>
      </c>
      <c r="AB38" s="2">
        <v>0.73599999999999999</v>
      </c>
      <c r="AC38" s="2">
        <v>0.73599999999999999</v>
      </c>
      <c r="AD38" s="2" t="s">
        <v>97</v>
      </c>
      <c r="AE38" s="2" t="s">
        <v>98</v>
      </c>
      <c r="AF38" s="2" t="s">
        <v>99</v>
      </c>
      <c r="AG38" s="2" t="s">
        <v>100</v>
      </c>
      <c r="AH38" s="2" t="s">
        <v>101</v>
      </c>
      <c r="AI38" s="2" t="s">
        <v>102</v>
      </c>
      <c r="AJ38" s="2" t="s">
        <v>103</v>
      </c>
      <c r="AK38" s="2" t="s">
        <v>104</v>
      </c>
      <c r="AL38" s="2" t="s">
        <v>105</v>
      </c>
      <c r="AM38" s="2" t="s">
        <v>270</v>
      </c>
      <c r="AN38" s="2">
        <v>0</v>
      </c>
      <c r="AO38" s="2">
        <v>39.58</v>
      </c>
      <c r="AP38" s="2">
        <v>0</v>
      </c>
      <c r="AQ38" s="2">
        <v>4.95</v>
      </c>
      <c r="AR38" s="2">
        <v>0</v>
      </c>
      <c r="AS38" s="2">
        <v>0</v>
      </c>
      <c r="AT38" s="2">
        <v>0</v>
      </c>
      <c r="AU38" s="3">
        <v>46001</v>
      </c>
      <c r="AV38" s="2" t="s">
        <v>271</v>
      </c>
      <c r="AW38" s="2" t="s">
        <v>234</v>
      </c>
      <c r="AX38" s="2" t="s">
        <v>272</v>
      </c>
      <c r="AY38" s="2" t="s">
        <v>273</v>
      </c>
      <c r="AZ38" s="2" t="s">
        <v>129</v>
      </c>
      <c r="BA38" s="2" t="s">
        <v>112</v>
      </c>
      <c r="BB38" s="2" t="s">
        <v>113</v>
      </c>
      <c r="BC38" s="2" t="s">
        <v>114</v>
      </c>
      <c r="BD38" s="2" t="s">
        <v>115</v>
      </c>
      <c r="BE38" s="2" t="s">
        <v>363</v>
      </c>
      <c r="BF38" s="2" t="s">
        <v>116</v>
      </c>
      <c r="BG38" s="2"/>
      <c r="BH38" s="2" t="s">
        <v>205</v>
      </c>
      <c r="BI38" s="2"/>
      <c r="BJ38" s="2"/>
      <c r="BK38" s="2" t="s">
        <v>274</v>
      </c>
      <c r="BL38" s="2"/>
      <c r="BM38" s="2">
        <v>2026</v>
      </c>
      <c r="BN38" s="2" t="s">
        <v>119</v>
      </c>
      <c r="BO38" s="2" t="s">
        <v>120</v>
      </c>
    </row>
    <row r="39" spans="1:67" x14ac:dyDescent="0.3">
      <c r="A39" s="2">
        <v>8536690000</v>
      </c>
      <c r="B39" s="2" t="s">
        <v>268</v>
      </c>
      <c r="C39" s="2" t="s">
        <v>92</v>
      </c>
      <c r="D39" s="2" t="s">
        <v>275</v>
      </c>
      <c r="E39" s="3">
        <v>46031</v>
      </c>
      <c r="F39" s="3">
        <v>46035</v>
      </c>
      <c r="G39" s="2" t="s">
        <v>94</v>
      </c>
      <c r="H39" s="2">
        <v>20392800434</v>
      </c>
      <c r="I39" s="2" t="s">
        <v>95</v>
      </c>
      <c r="J39" s="2"/>
      <c r="K39" s="2">
        <v>69.56</v>
      </c>
      <c r="L39" s="2">
        <v>64.77</v>
      </c>
      <c r="M39" s="2">
        <v>120</v>
      </c>
      <c r="N39" s="2" t="s">
        <v>96</v>
      </c>
      <c r="O39" s="2">
        <v>120</v>
      </c>
      <c r="P39" s="2" t="s">
        <v>96</v>
      </c>
      <c r="Q39" s="2">
        <v>614.4</v>
      </c>
      <c r="R39" s="2">
        <v>12.86</v>
      </c>
      <c r="S39" s="2">
        <v>627.26</v>
      </c>
      <c r="T39" s="2">
        <v>1.03</v>
      </c>
      <c r="U39" s="2">
        <v>628.29</v>
      </c>
      <c r="V39" s="2">
        <v>5.12</v>
      </c>
      <c r="W39" s="2">
        <v>5.2270000000000003</v>
      </c>
      <c r="X39" s="2">
        <v>5.2350000000000003</v>
      </c>
      <c r="Y39" s="2">
        <v>5.2350000000000003</v>
      </c>
      <c r="Z39" s="2">
        <v>5.12</v>
      </c>
      <c r="AA39" s="2">
        <v>5.2270000000000003</v>
      </c>
      <c r="AB39" s="2">
        <v>5.2350000000000003</v>
      </c>
      <c r="AC39" s="2">
        <v>5.2350000000000003</v>
      </c>
      <c r="AD39" s="2" t="s">
        <v>97</v>
      </c>
      <c r="AE39" s="2" t="s">
        <v>98</v>
      </c>
      <c r="AF39" s="2" t="s">
        <v>99</v>
      </c>
      <c r="AG39" s="2" t="s">
        <v>100</v>
      </c>
      <c r="AH39" s="2" t="s">
        <v>101</v>
      </c>
      <c r="AI39" s="2" t="s">
        <v>102</v>
      </c>
      <c r="AJ39" s="2" t="s">
        <v>103</v>
      </c>
      <c r="AK39" s="2" t="s">
        <v>104</v>
      </c>
      <c r="AL39" s="2" t="s">
        <v>105</v>
      </c>
      <c r="AM39" s="2" t="s">
        <v>276</v>
      </c>
      <c r="AN39" s="2">
        <v>0</v>
      </c>
      <c r="AO39" s="2">
        <v>100.53</v>
      </c>
      <c r="AP39" s="2">
        <v>0</v>
      </c>
      <c r="AQ39" s="2">
        <v>12.57</v>
      </c>
      <c r="AR39" s="2">
        <v>0</v>
      </c>
      <c r="AS39" s="2">
        <v>0</v>
      </c>
      <c r="AT39" s="2">
        <v>0</v>
      </c>
      <c r="AU39" s="3">
        <v>46001</v>
      </c>
      <c r="AV39" s="2" t="s">
        <v>277</v>
      </c>
      <c r="AW39" s="2" t="s">
        <v>234</v>
      </c>
      <c r="AX39" s="2" t="s">
        <v>272</v>
      </c>
      <c r="AY39" s="2" t="s">
        <v>278</v>
      </c>
      <c r="AZ39" s="2" t="s">
        <v>129</v>
      </c>
      <c r="BA39" s="2" t="s">
        <v>112</v>
      </c>
      <c r="BB39" s="2" t="s">
        <v>113</v>
      </c>
      <c r="BC39" s="2" t="s">
        <v>114</v>
      </c>
      <c r="BD39" s="2" t="s">
        <v>115</v>
      </c>
      <c r="BE39" s="2" t="s">
        <v>363</v>
      </c>
      <c r="BF39" s="2" t="s">
        <v>116</v>
      </c>
      <c r="BG39" s="2"/>
      <c r="BH39" s="2" t="s">
        <v>205</v>
      </c>
      <c r="BI39" s="2"/>
      <c r="BJ39" s="2"/>
      <c r="BK39" s="2"/>
      <c r="BL39" s="2"/>
      <c r="BM39" s="2">
        <v>2026</v>
      </c>
      <c r="BN39" s="2" t="s">
        <v>119</v>
      </c>
      <c r="BO39" s="2" t="s">
        <v>120</v>
      </c>
    </row>
    <row r="40" spans="1:67" x14ac:dyDescent="0.3">
      <c r="A40" s="2">
        <v>8536690000</v>
      </c>
      <c r="B40" s="2" t="s">
        <v>268</v>
      </c>
      <c r="C40" s="2" t="s">
        <v>92</v>
      </c>
      <c r="D40" s="2" t="s">
        <v>279</v>
      </c>
      <c r="E40" s="3">
        <v>46031</v>
      </c>
      <c r="F40" s="3">
        <v>46035</v>
      </c>
      <c r="G40" s="2" t="s">
        <v>94</v>
      </c>
      <c r="H40" s="2">
        <v>20392800434</v>
      </c>
      <c r="I40" s="2" t="s">
        <v>95</v>
      </c>
      <c r="J40" s="2"/>
      <c r="K40" s="2">
        <v>301.32</v>
      </c>
      <c r="L40" s="2">
        <v>280.57</v>
      </c>
      <c r="M40" s="2">
        <v>3024</v>
      </c>
      <c r="N40" s="2" t="s">
        <v>96</v>
      </c>
      <c r="O40" s="2">
        <v>3024</v>
      </c>
      <c r="P40" s="2" t="s">
        <v>96</v>
      </c>
      <c r="Q40" s="2">
        <v>2661.12</v>
      </c>
      <c r="R40" s="2">
        <v>55.73</v>
      </c>
      <c r="S40" s="2">
        <v>2716.85</v>
      </c>
      <c r="T40" s="2">
        <v>4.4800000000000004</v>
      </c>
      <c r="U40" s="2">
        <v>2721.33</v>
      </c>
      <c r="V40" s="2">
        <v>0.88</v>
      </c>
      <c r="W40" s="2">
        <v>0.89800000000000002</v>
      </c>
      <c r="X40" s="2">
        <v>0.89900000000000002</v>
      </c>
      <c r="Y40" s="2">
        <v>0.89900000000000002</v>
      </c>
      <c r="Z40" s="2">
        <v>0.88</v>
      </c>
      <c r="AA40" s="2">
        <v>0.89800000000000002</v>
      </c>
      <c r="AB40" s="2">
        <v>0.89900000000000002</v>
      </c>
      <c r="AC40" s="2">
        <v>0.89900000000000002</v>
      </c>
      <c r="AD40" s="2" t="s">
        <v>97</v>
      </c>
      <c r="AE40" s="2" t="s">
        <v>98</v>
      </c>
      <c r="AF40" s="2" t="s">
        <v>99</v>
      </c>
      <c r="AG40" s="2" t="s">
        <v>100</v>
      </c>
      <c r="AH40" s="2" t="s">
        <v>101</v>
      </c>
      <c r="AI40" s="2" t="s">
        <v>102</v>
      </c>
      <c r="AJ40" s="2" t="s">
        <v>103</v>
      </c>
      <c r="AK40" s="2" t="s">
        <v>104</v>
      </c>
      <c r="AL40" s="2" t="s">
        <v>105</v>
      </c>
      <c r="AM40" s="2" t="s">
        <v>280</v>
      </c>
      <c r="AN40" s="2">
        <v>0</v>
      </c>
      <c r="AO40" s="2">
        <v>435.41</v>
      </c>
      <c r="AP40" s="2">
        <v>0</v>
      </c>
      <c r="AQ40" s="2">
        <v>54.43</v>
      </c>
      <c r="AR40" s="2">
        <v>0</v>
      </c>
      <c r="AS40" s="2">
        <v>0</v>
      </c>
      <c r="AT40" s="2">
        <v>0</v>
      </c>
      <c r="AU40" s="3">
        <v>46001</v>
      </c>
      <c r="AV40" s="2" t="s">
        <v>281</v>
      </c>
      <c r="AW40" s="2" t="s">
        <v>234</v>
      </c>
      <c r="AX40" s="2" t="s">
        <v>272</v>
      </c>
      <c r="AY40" s="2" t="s">
        <v>282</v>
      </c>
      <c r="AZ40" s="2" t="s">
        <v>129</v>
      </c>
      <c r="BA40" s="2" t="s">
        <v>112</v>
      </c>
      <c r="BB40" s="2" t="s">
        <v>113</v>
      </c>
      <c r="BC40" s="2" t="s">
        <v>114</v>
      </c>
      <c r="BD40" s="2" t="s">
        <v>115</v>
      </c>
      <c r="BE40" s="2" t="s">
        <v>363</v>
      </c>
      <c r="BF40" s="2" t="s">
        <v>116</v>
      </c>
      <c r="BG40" s="2"/>
      <c r="BH40" s="2" t="s">
        <v>205</v>
      </c>
      <c r="BI40" s="2"/>
      <c r="BJ40" s="2"/>
      <c r="BK40" s="2" t="s">
        <v>283</v>
      </c>
      <c r="BL40" s="2"/>
      <c r="BM40" s="2">
        <v>2026</v>
      </c>
      <c r="BN40" s="2" t="s">
        <v>119</v>
      </c>
      <c r="BO40" s="2" t="s">
        <v>120</v>
      </c>
    </row>
    <row r="41" spans="1:67" x14ac:dyDescent="0.3">
      <c r="A41" s="2">
        <v>8536690000</v>
      </c>
      <c r="B41" s="2" t="s">
        <v>268</v>
      </c>
      <c r="C41" s="2" t="s">
        <v>92</v>
      </c>
      <c r="D41" s="2" t="s">
        <v>284</v>
      </c>
      <c r="E41" s="3">
        <v>46031</v>
      </c>
      <c r="F41" s="3">
        <v>46035</v>
      </c>
      <c r="G41" s="2" t="s">
        <v>94</v>
      </c>
      <c r="H41" s="2">
        <v>20392800434</v>
      </c>
      <c r="I41" s="2" t="s">
        <v>95</v>
      </c>
      <c r="J41" s="2"/>
      <c r="K41" s="2">
        <v>41.85</v>
      </c>
      <c r="L41" s="2">
        <v>38.96</v>
      </c>
      <c r="M41" s="2">
        <v>336</v>
      </c>
      <c r="N41" s="2" t="s">
        <v>96</v>
      </c>
      <c r="O41" s="2">
        <v>336</v>
      </c>
      <c r="P41" s="2" t="s">
        <v>96</v>
      </c>
      <c r="Q41" s="2">
        <v>369.6</v>
      </c>
      <c r="R41" s="2">
        <v>7.74</v>
      </c>
      <c r="S41" s="2">
        <v>377.34</v>
      </c>
      <c r="T41" s="2">
        <v>0.62</v>
      </c>
      <c r="U41" s="2">
        <v>377.96</v>
      </c>
      <c r="V41" s="2">
        <v>1.1000000000000001</v>
      </c>
      <c r="W41" s="2">
        <v>1.123</v>
      </c>
      <c r="X41" s="2">
        <v>1.1240000000000001</v>
      </c>
      <c r="Y41" s="2">
        <v>1.1240000000000001</v>
      </c>
      <c r="Z41" s="2">
        <v>1.1000000000000001</v>
      </c>
      <c r="AA41" s="2">
        <v>1.123</v>
      </c>
      <c r="AB41" s="2">
        <v>1.1240000000000001</v>
      </c>
      <c r="AC41" s="2">
        <v>1.1240000000000001</v>
      </c>
      <c r="AD41" s="2" t="s">
        <v>97</v>
      </c>
      <c r="AE41" s="2" t="s">
        <v>98</v>
      </c>
      <c r="AF41" s="2" t="s">
        <v>99</v>
      </c>
      <c r="AG41" s="2" t="s">
        <v>100</v>
      </c>
      <c r="AH41" s="2" t="s">
        <v>101</v>
      </c>
      <c r="AI41" s="2" t="s">
        <v>102</v>
      </c>
      <c r="AJ41" s="2" t="s">
        <v>103</v>
      </c>
      <c r="AK41" s="2" t="s">
        <v>104</v>
      </c>
      <c r="AL41" s="2" t="s">
        <v>105</v>
      </c>
      <c r="AM41" s="2" t="s">
        <v>285</v>
      </c>
      <c r="AN41" s="2">
        <v>0</v>
      </c>
      <c r="AO41" s="2">
        <v>60.47</v>
      </c>
      <c r="AP41" s="2">
        <v>0</v>
      </c>
      <c r="AQ41" s="2">
        <v>7.56</v>
      </c>
      <c r="AR41" s="2">
        <v>0</v>
      </c>
      <c r="AS41" s="2">
        <v>0</v>
      </c>
      <c r="AT41" s="2">
        <v>0</v>
      </c>
      <c r="AU41" s="3">
        <v>46001</v>
      </c>
      <c r="AV41" s="2" t="s">
        <v>286</v>
      </c>
      <c r="AW41" s="2" t="s">
        <v>108</v>
      </c>
      <c r="AX41" s="2" t="s">
        <v>272</v>
      </c>
      <c r="AY41" s="2" t="s">
        <v>287</v>
      </c>
      <c r="AZ41" s="2" t="s">
        <v>129</v>
      </c>
      <c r="BA41" s="2" t="s">
        <v>112</v>
      </c>
      <c r="BB41" s="2" t="s">
        <v>113</v>
      </c>
      <c r="BC41" s="2" t="s">
        <v>114</v>
      </c>
      <c r="BD41" s="2" t="s">
        <v>115</v>
      </c>
      <c r="BE41" s="2" t="s">
        <v>362</v>
      </c>
      <c r="BF41" s="2" t="s">
        <v>116</v>
      </c>
      <c r="BG41" s="2"/>
      <c r="BH41" s="2" t="s">
        <v>118</v>
      </c>
      <c r="BI41" s="2"/>
      <c r="BJ41" s="2"/>
      <c r="BK41" s="2" t="s">
        <v>288</v>
      </c>
      <c r="BL41" s="2"/>
      <c r="BM41" s="2">
        <v>2026</v>
      </c>
      <c r="BN41" s="2" t="s">
        <v>119</v>
      </c>
      <c r="BO41" s="2" t="s">
        <v>120</v>
      </c>
    </row>
    <row r="42" spans="1:67" x14ac:dyDescent="0.3">
      <c r="A42" s="2">
        <v>8536690000</v>
      </c>
      <c r="B42" s="2" t="s">
        <v>268</v>
      </c>
      <c r="C42" s="2" t="s">
        <v>92</v>
      </c>
      <c r="D42" s="2" t="s">
        <v>289</v>
      </c>
      <c r="E42" s="3">
        <v>46031</v>
      </c>
      <c r="F42" s="3">
        <v>46035</v>
      </c>
      <c r="G42" s="2" t="s">
        <v>94</v>
      </c>
      <c r="H42" s="2">
        <v>20392800434</v>
      </c>
      <c r="I42" s="2" t="s">
        <v>95</v>
      </c>
      <c r="J42" s="2"/>
      <c r="K42" s="2">
        <v>73.81</v>
      </c>
      <c r="L42" s="2">
        <v>68.72</v>
      </c>
      <c r="M42" s="2">
        <v>336</v>
      </c>
      <c r="N42" s="2" t="s">
        <v>96</v>
      </c>
      <c r="O42" s="2">
        <v>336</v>
      </c>
      <c r="P42" s="2" t="s">
        <v>96</v>
      </c>
      <c r="Q42" s="2">
        <v>651.84</v>
      </c>
      <c r="R42" s="2">
        <v>13.65</v>
      </c>
      <c r="S42" s="2">
        <v>665.49</v>
      </c>
      <c r="T42" s="2">
        <v>1.0900000000000001</v>
      </c>
      <c r="U42" s="2">
        <v>666.58</v>
      </c>
      <c r="V42" s="2">
        <v>1.94</v>
      </c>
      <c r="W42" s="2">
        <v>1.98</v>
      </c>
      <c r="X42" s="2">
        <v>1.9830000000000001</v>
      </c>
      <c r="Y42" s="2">
        <v>1.9830000000000001</v>
      </c>
      <c r="Z42" s="2">
        <v>1.94</v>
      </c>
      <c r="AA42" s="2">
        <v>1.98</v>
      </c>
      <c r="AB42" s="2">
        <v>1.9830000000000001</v>
      </c>
      <c r="AC42" s="2">
        <v>1.9830000000000001</v>
      </c>
      <c r="AD42" s="2" t="s">
        <v>97</v>
      </c>
      <c r="AE42" s="2" t="s">
        <v>98</v>
      </c>
      <c r="AF42" s="2" t="s">
        <v>99</v>
      </c>
      <c r="AG42" s="2" t="s">
        <v>100</v>
      </c>
      <c r="AH42" s="2" t="s">
        <v>101</v>
      </c>
      <c r="AI42" s="2" t="s">
        <v>102</v>
      </c>
      <c r="AJ42" s="2" t="s">
        <v>103</v>
      </c>
      <c r="AK42" s="2" t="s">
        <v>104</v>
      </c>
      <c r="AL42" s="2" t="s">
        <v>105</v>
      </c>
      <c r="AM42" s="2" t="s">
        <v>290</v>
      </c>
      <c r="AN42" s="2">
        <v>0</v>
      </c>
      <c r="AO42" s="2">
        <v>106.65</v>
      </c>
      <c r="AP42" s="2">
        <v>0</v>
      </c>
      <c r="AQ42" s="2">
        <v>13.33</v>
      </c>
      <c r="AR42" s="2">
        <v>0</v>
      </c>
      <c r="AS42" s="2">
        <v>0</v>
      </c>
      <c r="AT42" s="2">
        <v>0</v>
      </c>
      <c r="AU42" s="3">
        <v>46001</v>
      </c>
      <c r="AV42" s="2" t="s">
        <v>291</v>
      </c>
      <c r="AW42" s="2" t="s">
        <v>108</v>
      </c>
      <c r="AX42" s="2" t="s">
        <v>292</v>
      </c>
      <c r="AY42" s="2" t="s">
        <v>293</v>
      </c>
      <c r="AZ42" s="2" t="s">
        <v>129</v>
      </c>
      <c r="BA42" s="2" t="s">
        <v>112</v>
      </c>
      <c r="BB42" s="2" t="s">
        <v>113</v>
      </c>
      <c r="BC42" s="2" t="s">
        <v>114</v>
      </c>
      <c r="BD42" s="2" t="s">
        <v>115</v>
      </c>
      <c r="BE42" s="2" t="s">
        <v>365</v>
      </c>
      <c r="BF42" s="2" t="s">
        <v>116</v>
      </c>
      <c r="BG42" s="2"/>
      <c r="BH42" s="2" t="s">
        <v>118</v>
      </c>
      <c r="BI42" s="2"/>
      <c r="BJ42" s="2"/>
      <c r="BK42" s="2" t="s">
        <v>265</v>
      </c>
      <c r="BL42" s="2"/>
      <c r="BM42" s="2">
        <v>2026</v>
      </c>
      <c r="BN42" s="2" t="s">
        <v>119</v>
      </c>
      <c r="BO42" s="2" t="s">
        <v>120</v>
      </c>
    </row>
    <row r="43" spans="1:67" x14ac:dyDescent="0.3">
      <c r="A43" s="2">
        <v>8536690000</v>
      </c>
      <c r="B43" s="2" t="s">
        <v>268</v>
      </c>
      <c r="C43" s="2" t="s">
        <v>92</v>
      </c>
      <c r="D43" s="2" t="s">
        <v>294</v>
      </c>
      <c r="E43" s="3">
        <v>46031</v>
      </c>
      <c r="F43" s="3">
        <v>46035</v>
      </c>
      <c r="G43" s="2" t="s">
        <v>94</v>
      </c>
      <c r="H43" s="2">
        <v>20392800434</v>
      </c>
      <c r="I43" s="2" t="s">
        <v>95</v>
      </c>
      <c r="J43" s="2"/>
      <c r="K43" s="2">
        <v>149.52000000000001</v>
      </c>
      <c r="L43" s="2">
        <v>139.22</v>
      </c>
      <c r="M43" s="2">
        <v>1008</v>
      </c>
      <c r="N43" s="2" t="s">
        <v>96</v>
      </c>
      <c r="O43" s="2">
        <v>1008</v>
      </c>
      <c r="P43" s="2" t="s">
        <v>96</v>
      </c>
      <c r="Q43" s="2">
        <v>1320.48</v>
      </c>
      <c r="R43" s="2">
        <v>27.65</v>
      </c>
      <c r="S43" s="2">
        <v>1348.13</v>
      </c>
      <c r="T43" s="2">
        <v>2.2200000000000002</v>
      </c>
      <c r="U43" s="2">
        <v>1350.35</v>
      </c>
      <c r="V43" s="2">
        <v>1.31</v>
      </c>
      <c r="W43" s="2">
        <v>1.337</v>
      </c>
      <c r="X43" s="2">
        <v>1.339</v>
      </c>
      <c r="Y43" s="2">
        <v>1.339</v>
      </c>
      <c r="Z43" s="2">
        <v>1.31</v>
      </c>
      <c r="AA43" s="2">
        <v>1.337</v>
      </c>
      <c r="AB43" s="2">
        <v>1.339</v>
      </c>
      <c r="AC43" s="2">
        <v>1.339</v>
      </c>
      <c r="AD43" s="2" t="s">
        <v>97</v>
      </c>
      <c r="AE43" s="2" t="s">
        <v>98</v>
      </c>
      <c r="AF43" s="2" t="s">
        <v>99</v>
      </c>
      <c r="AG43" s="2" t="s">
        <v>100</v>
      </c>
      <c r="AH43" s="2" t="s">
        <v>101</v>
      </c>
      <c r="AI43" s="2" t="s">
        <v>102</v>
      </c>
      <c r="AJ43" s="2" t="s">
        <v>103</v>
      </c>
      <c r="AK43" s="2" t="s">
        <v>104</v>
      </c>
      <c r="AL43" s="2" t="s">
        <v>105</v>
      </c>
      <c r="AM43" s="2" t="s">
        <v>295</v>
      </c>
      <c r="AN43" s="2">
        <v>0</v>
      </c>
      <c r="AO43" s="2">
        <v>216.06</v>
      </c>
      <c r="AP43" s="2">
        <v>0</v>
      </c>
      <c r="AQ43" s="2">
        <v>27.01</v>
      </c>
      <c r="AR43" s="2">
        <v>0</v>
      </c>
      <c r="AS43" s="2">
        <v>0</v>
      </c>
      <c r="AT43" s="2">
        <v>0</v>
      </c>
      <c r="AU43" s="3">
        <v>46001</v>
      </c>
      <c r="AV43" s="2" t="s">
        <v>296</v>
      </c>
      <c r="AW43" s="2" t="s">
        <v>108</v>
      </c>
      <c r="AX43" s="2" t="s">
        <v>272</v>
      </c>
      <c r="AY43" s="2" t="s">
        <v>297</v>
      </c>
      <c r="AZ43" s="2" t="s">
        <v>129</v>
      </c>
      <c r="BA43" s="2" t="s">
        <v>112</v>
      </c>
      <c r="BB43" s="2" t="s">
        <v>113</v>
      </c>
      <c r="BC43" s="2" t="s">
        <v>114</v>
      </c>
      <c r="BD43" s="2" t="s">
        <v>115</v>
      </c>
      <c r="BE43" s="2" t="s">
        <v>363</v>
      </c>
      <c r="BF43" s="2" t="s">
        <v>116</v>
      </c>
      <c r="BG43" s="2"/>
      <c r="BH43" s="2" t="s">
        <v>118</v>
      </c>
      <c r="BI43" s="2"/>
      <c r="BJ43" s="2"/>
      <c r="BK43" s="2"/>
      <c r="BL43" s="2"/>
      <c r="BM43" s="2">
        <v>2026</v>
      </c>
      <c r="BN43" s="2" t="s">
        <v>119</v>
      </c>
      <c r="BO43" s="2" t="s">
        <v>120</v>
      </c>
    </row>
    <row r="44" spans="1:67" x14ac:dyDescent="0.3">
      <c r="A44" s="2">
        <v>8536690000</v>
      </c>
      <c r="B44" s="2" t="s">
        <v>268</v>
      </c>
      <c r="C44" s="2" t="s">
        <v>92</v>
      </c>
      <c r="D44" s="2" t="s">
        <v>298</v>
      </c>
      <c r="E44" s="3">
        <v>45801</v>
      </c>
      <c r="F44" s="3">
        <v>45805</v>
      </c>
      <c r="G44" s="2" t="s">
        <v>193</v>
      </c>
      <c r="H44" s="2">
        <v>20392800434</v>
      </c>
      <c r="I44" s="2" t="s">
        <v>95</v>
      </c>
      <c r="J44" s="2"/>
      <c r="K44" s="2">
        <v>53.3</v>
      </c>
      <c r="L44" s="2">
        <v>41.57</v>
      </c>
      <c r="M44" s="2">
        <v>840</v>
      </c>
      <c r="N44" s="2" t="s">
        <v>194</v>
      </c>
      <c r="O44" s="2">
        <v>840</v>
      </c>
      <c r="P44" s="2" t="s">
        <v>194</v>
      </c>
      <c r="Q44" s="2">
        <v>604.79999999999995</v>
      </c>
      <c r="R44" s="2">
        <v>6.43</v>
      </c>
      <c r="S44" s="2">
        <v>611.23</v>
      </c>
      <c r="T44" s="2">
        <v>1.39</v>
      </c>
      <c r="U44" s="2">
        <v>612.62</v>
      </c>
      <c r="V44" s="2">
        <v>0.72</v>
      </c>
      <c r="W44" s="2">
        <v>0.72699999999999998</v>
      </c>
      <c r="X44" s="2">
        <v>0.72899999999999998</v>
      </c>
      <c r="Y44" s="2">
        <v>0.72899999999999998</v>
      </c>
      <c r="Z44" s="2">
        <v>0.72</v>
      </c>
      <c r="AA44" s="2">
        <v>0.72699999999999998</v>
      </c>
      <c r="AB44" s="2">
        <v>0.72899999999999998</v>
      </c>
      <c r="AC44" s="2">
        <v>0.72899999999999998</v>
      </c>
      <c r="AD44" s="2" t="s">
        <v>97</v>
      </c>
      <c r="AE44" s="2" t="s">
        <v>98</v>
      </c>
      <c r="AF44" s="2" t="s">
        <v>99</v>
      </c>
      <c r="AG44" s="2" t="s">
        <v>100</v>
      </c>
      <c r="AH44" s="2" t="s">
        <v>195</v>
      </c>
      <c r="AI44" s="2" t="s">
        <v>102</v>
      </c>
      <c r="AJ44" s="2" t="s">
        <v>103</v>
      </c>
      <c r="AK44" s="2" t="s">
        <v>196</v>
      </c>
      <c r="AL44" s="2" t="s">
        <v>105</v>
      </c>
      <c r="AM44" s="2" t="s">
        <v>299</v>
      </c>
      <c r="AN44" s="2">
        <v>0</v>
      </c>
      <c r="AO44" s="2">
        <v>98.02</v>
      </c>
      <c r="AP44" s="2">
        <v>0</v>
      </c>
      <c r="AQ44" s="2">
        <v>12.25</v>
      </c>
      <c r="AR44" s="2">
        <v>0</v>
      </c>
      <c r="AS44" s="2">
        <v>0</v>
      </c>
      <c r="AT44" s="2">
        <v>0</v>
      </c>
      <c r="AU44" s="3">
        <v>45760</v>
      </c>
      <c r="AV44" s="2" t="s">
        <v>300</v>
      </c>
      <c r="AW44" s="2" t="s">
        <v>301</v>
      </c>
      <c r="AX44" s="2" t="s">
        <v>302</v>
      </c>
      <c r="AY44" s="2" t="s">
        <v>303</v>
      </c>
      <c r="AZ44" s="2" t="s">
        <v>129</v>
      </c>
      <c r="BA44" s="2" t="s">
        <v>202</v>
      </c>
      <c r="BB44" s="2" t="s">
        <v>113</v>
      </c>
      <c r="BC44" s="2" t="s">
        <v>114</v>
      </c>
      <c r="BD44" s="2" t="s">
        <v>203</v>
      </c>
      <c r="BE44" s="2" t="s">
        <v>363</v>
      </c>
      <c r="BF44" s="2" t="s">
        <v>204</v>
      </c>
      <c r="BG44" s="2"/>
      <c r="BH44" s="2" t="s">
        <v>118</v>
      </c>
      <c r="BI44" s="2"/>
      <c r="BJ44" s="2"/>
      <c r="BK44" s="2" t="s">
        <v>274</v>
      </c>
      <c r="BL44" s="2"/>
      <c r="BM44" s="2">
        <v>2025</v>
      </c>
      <c r="BN44" s="2" t="s">
        <v>206</v>
      </c>
      <c r="BO44" s="2" t="s">
        <v>120</v>
      </c>
    </row>
    <row r="45" spans="1:67" x14ac:dyDescent="0.3">
      <c r="A45" s="2">
        <v>8536690000</v>
      </c>
      <c r="B45" s="2" t="s">
        <v>268</v>
      </c>
      <c r="C45" s="2" t="s">
        <v>92</v>
      </c>
      <c r="D45" s="2" t="s">
        <v>304</v>
      </c>
      <c r="E45" s="3">
        <v>45801</v>
      </c>
      <c r="F45" s="3">
        <v>45805</v>
      </c>
      <c r="G45" s="2" t="s">
        <v>193</v>
      </c>
      <c r="H45" s="2">
        <v>20392800434</v>
      </c>
      <c r="I45" s="2" t="s">
        <v>95</v>
      </c>
      <c r="J45" s="2"/>
      <c r="K45" s="2">
        <v>625.46</v>
      </c>
      <c r="L45" s="2">
        <v>487.83</v>
      </c>
      <c r="M45" s="2">
        <v>8064</v>
      </c>
      <c r="N45" s="2" t="s">
        <v>194</v>
      </c>
      <c r="O45" s="2">
        <v>8064</v>
      </c>
      <c r="P45" s="2" t="s">
        <v>194</v>
      </c>
      <c r="Q45" s="2">
        <v>7096.32</v>
      </c>
      <c r="R45" s="2">
        <v>75.53</v>
      </c>
      <c r="S45" s="2">
        <v>7171.85</v>
      </c>
      <c r="T45" s="2">
        <v>16.34</v>
      </c>
      <c r="U45" s="2">
        <v>7188.19</v>
      </c>
      <c r="V45" s="2">
        <v>0.88</v>
      </c>
      <c r="W45" s="2">
        <v>0.88900000000000001</v>
      </c>
      <c r="X45" s="2">
        <v>0.89100000000000001</v>
      </c>
      <c r="Y45" s="2">
        <v>0.89100000000000001</v>
      </c>
      <c r="Z45" s="2">
        <v>0.88</v>
      </c>
      <c r="AA45" s="2">
        <v>0.88900000000000001</v>
      </c>
      <c r="AB45" s="2">
        <v>0.89100000000000001</v>
      </c>
      <c r="AC45" s="2">
        <v>0.89100000000000001</v>
      </c>
      <c r="AD45" s="2" t="s">
        <v>97</v>
      </c>
      <c r="AE45" s="2" t="s">
        <v>98</v>
      </c>
      <c r="AF45" s="2" t="s">
        <v>99</v>
      </c>
      <c r="AG45" s="2" t="s">
        <v>100</v>
      </c>
      <c r="AH45" s="2" t="s">
        <v>195</v>
      </c>
      <c r="AI45" s="2" t="s">
        <v>102</v>
      </c>
      <c r="AJ45" s="2" t="s">
        <v>103</v>
      </c>
      <c r="AK45" s="2" t="s">
        <v>196</v>
      </c>
      <c r="AL45" s="2" t="s">
        <v>105</v>
      </c>
      <c r="AM45" s="2" t="s">
        <v>305</v>
      </c>
      <c r="AN45" s="2">
        <v>0</v>
      </c>
      <c r="AO45" s="2">
        <v>1150.1099999999999</v>
      </c>
      <c r="AP45" s="2">
        <v>0</v>
      </c>
      <c r="AQ45" s="2">
        <v>143.76</v>
      </c>
      <c r="AR45" s="2">
        <v>0</v>
      </c>
      <c r="AS45" s="2">
        <v>0</v>
      </c>
      <c r="AT45" s="2">
        <v>0</v>
      </c>
      <c r="AU45" s="3">
        <v>45760</v>
      </c>
      <c r="AV45" s="2" t="s">
        <v>306</v>
      </c>
      <c r="AW45" s="2" t="s">
        <v>307</v>
      </c>
      <c r="AX45" s="2" t="s">
        <v>302</v>
      </c>
      <c r="AY45" s="2" t="s">
        <v>308</v>
      </c>
      <c r="AZ45" s="2" t="s">
        <v>129</v>
      </c>
      <c r="BA45" s="2" t="s">
        <v>202</v>
      </c>
      <c r="BB45" s="2" t="s">
        <v>113</v>
      </c>
      <c r="BC45" s="2" t="s">
        <v>114</v>
      </c>
      <c r="BD45" s="2" t="s">
        <v>203</v>
      </c>
      <c r="BE45" s="2" t="s">
        <v>363</v>
      </c>
      <c r="BF45" s="2" t="s">
        <v>204</v>
      </c>
      <c r="BG45" s="2"/>
      <c r="BH45" s="2" t="s">
        <v>118</v>
      </c>
      <c r="BI45" s="2"/>
      <c r="BJ45" s="2"/>
      <c r="BK45" s="2" t="s">
        <v>283</v>
      </c>
      <c r="BL45" s="2"/>
      <c r="BM45" s="2">
        <v>2025</v>
      </c>
      <c r="BN45" s="2" t="s">
        <v>206</v>
      </c>
      <c r="BO45" s="2" t="s">
        <v>120</v>
      </c>
    </row>
    <row r="46" spans="1:67" x14ac:dyDescent="0.3">
      <c r="A46" s="2">
        <v>8536690000</v>
      </c>
      <c r="B46" s="2" t="s">
        <v>268</v>
      </c>
      <c r="C46" s="2" t="s">
        <v>92</v>
      </c>
      <c r="D46" s="2" t="s">
        <v>309</v>
      </c>
      <c r="E46" s="3">
        <v>45801</v>
      </c>
      <c r="F46" s="3">
        <v>45805</v>
      </c>
      <c r="G46" s="2" t="s">
        <v>193</v>
      </c>
      <c r="H46" s="2">
        <v>20392800434</v>
      </c>
      <c r="I46" s="2" t="s">
        <v>95</v>
      </c>
      <c r="J46" s="2"/>
      <c r="K46" s="2">
        <v>270.76</v>
      </c>
      <c r="L46" s="2">
        <v>211.18</v>
      </c>
      <c r="M46" s="2">
        <v>600</v>
      </c>
      <c r="N46" s="2" t="s">
        <v>194</v>
      </c>
      <c r="O46" s="2">
        <v>600</v>
      </c>
      <c r="P46" s="2" t="s">
        <v>194</v>
      </c>
      <c r="Q46" s="2">
        <v>3072</v>
      </c>
      <c r="R46" s="2">
        <v>32.69</v>
      </c>
      <c r="S46" s="2">
        <v>3104.69</v>
      </c>
      <c r="T46" s="2">
        <v>7.07</v>
      </c>
      <c r="U46" s="2">
        <v>3111.76</v>
      </c>
      <c r="V46" s="2">
        <v>5.12</v>
      </c>
      <c r="W46" s="2">
        <v>5.1740000000000004</v>
      </c>
      <c r="X46" s="2">
        <v>5.1859999999999999</v>
      </c>
      <c r="Y46" s="2">
        <v>5.1859999999999999</v>
      </c>
      <c r="Z46" s="2">
        <v>5.12</v>
      </c>
      <c r="AA46" s="2">
        <v>5.1740000000000004</v>
      </c>
      <c r="AB46" s="2">
        <v>5.1859999999999999</v>
      </c>
      <c r="AC46" s="2">
        <v>5.1859999999999999</v>
      </c>
      <c r="AD46" s="2" t="s">
        <v>97</v>
      </c>
      <c r="AE46" s="2" t="s">
        <v>98</v>
      </c>
      <c r="AF46" s="2" t="s">
        <v>99</v>
      </c>
      <c r="AG46" s="2" t="s">
        <v>100</v>
      </c>
      <c r="AH46" s="2" t="s">
        <v>195</v>
      </c>
      <c r="AI46" s="2" t="s">
        <v>102</v>
      </c>
      <c r="AJ46" s="2" t="s">
        <v>103</v>
      </c>
      <c r="AK46" s="2" t="s">
        <v>196</v>
      </c>
      <c r="AL46" s="2" t="s">
        <v>105</v>
      </c>
      <c r="AM46" s="2" t="s">
        <v>310</v>
      </c>
      <c r="AN46" s="2">
        <v>0</v>
      </c>
      <c r="AO46" s="2">
        <v>497.88</v>
      </c>
      <c r="AP46" s="2">
        <v>0</v>
      </c>
      <c r="AQ46" s="2">
        <v>62.24</v>
      </c>
      <c r="AR46" s="2">
        <v>0</v>
      </c>
      <c r="AS46" s="2">
        <v>0</v>
      </c>
      <c r="AT46" s="2">
        <v>0</v>
      </c>
      <c r="AU46" s="3">
        <v>45760</v>
      </c>
      <c r="AV46" s="2" t="s">
        <v>311</v>
      </c>
      <c r="AW46" s="2" t="s">
        <v>312</v>
      </c>
      <c r="AX46" s="2" t="s">
        <v>302</v>
      </c>
      <c r="AY46" s="2" t="s">
        <v>313</v>
      </c>
      <c r="AZ46" s="2" t="s">
        <v>129</v>
      </c>
      <c r="BA46" s="2" t="s">
        <v>202</v>
      </c>
      <c r="BB46" s="2" t="s">
        <v>113</v>
      </c>
      <c r="BC46" s="2" t="s">
        <v>114</v>
      </c>
      <c r="BD46" s="2" t="s">
        <v>203</v>
      </c>
      <c r="BE46" s="2" t="s">
        <v>363</v>
      </c>
      <c r="BF46" s="2" t="s">
        <v>204</v>
      </c>
      <c r="BG46" s="2"/>
      <c r="BH46" s="2" t="s">
        <v>118</v>
      </c>
      <c r="BI46" s="2"/>
      <c r="BJ46" s="2"/>
      <c r="BK46" s="2" t="s">
        <v>283</v>
      </c>
      <c r="BL46" s="2"/>
      <c r="BM46" s="2">
        <v>2025</v>
      </c>
      <c r="BN46" s="2" t="s">
        <v>206</v>
      </c>
      <c r="BO46" s="2" t="s">
        <v>120</v>
      </c>
    </row>
    <row r="47" spans="1:67" x14ac:dyDescent="0.3">
      <c r="A47" s="2">
        <v>8536690000</v>
      </c>
      <c r="B47" s="2" t="s">
        <v>268</v>
      </c>
      <c r="C47" s="2" t="s">
        <v>92</v>
      </c>
      <c r="D47" s="2" t="s">
        <v>314</v>
      </c>
      <c r="E47" s="3">
        <v>45801</v>
      </c>
      <c r="F47" s="3">
        <v>45805</v>
      </c>
      <c r="G47" s="2" t="s">
        <v>193</v>
      </c>
      <c r="H47" s="2">
        <v>20392800434</v>
      </c>
      <c r="I47" s="2" t="s">
        <v>95</v>
      </c>
      <c r="J47" s="2"/>
      <c r="K47" s="2">
        <v>25.46</v>
      </c>
      <c r="L47" s="2">
        <v>19.86</v>
      </c>
      <c r="M47" s="2">
        <v>336</v>
      </c>
      <c r="N47" s="2" t="s">
        <v>194</v>
      </c>
      <c r="O47" s="2">
        <v>336</v>
      </c>
      <c r="P47" s="2" t="s">
        <v>194</v>
      </c>
      <c r="Q47" s="2">
        <v>288.95999999999998</v>
      </c>
      <c r="R47" s="2">
        <v>3.07</v>
      </c>
      <c r="S47" s="2">
        <v>292.02999999999997</v>
      </c>
      <c r="T47" s="2">
        <v>0.66</v>
      </c>
      <c r="U47" s="2">
        <v>292.69</v>
      </c>
      <c r="V47" s="2">
        <v>0.86</v>
      </c>
      <c r="W47" s="2">
        <v>0.86899999999999999</v>
      </c>
      <c r="X47" s="2">
        <v>0.871</v>
      </c>
      <c r="Y47" s="2">
        <v>0.871</v>
      </c>
      <c r="Z47" s="2">
        <v>0.86</v>
      </c>
      <c r="AA47" s="2">
        <v>0.86899999999999999</v>
      </c>
      <c r="AB47" s="2">
        <v>0.871</v>
      </c>
      <c r="AC47" s="2">
        <v>0.871</v>
      </c>
      <c r="AD47" s="2" t="s">
        <v>97</v>
      </c>
      <c r="AE47" s="2" t="s">
        <v>98</v>
      </c>
      <c r="AF47" s="2" t="s">
        <v>99</v>
      </c>
      <c r="AG47" s="2" t="s">
        <v>100</v>
      </c>
      <c r="AH47" s="2" t="s">
        <v>195</v>
      </c>
      <c r="AI47" s="2" t="s">
        <v>102</v>
      </c>
      <c r="AJ47" s="2" t="s">
        <v>103</v>
      </c>
      <c r="AK47" s="2" t="s">
        <v>196</v>
      </c>
      <c r="AL47" s="2" t="s">
        <v>105</v>
      </c>
      <c r="AM47" s="2" t="s">
        <v>315</v>
      </c>
      <c r="AN47" s="2">
        <v>0</v>
      </c>
      <c r="AO47" s="2">
        <v>46.83</v>
      </c>
      <c r="AP47" s="2">
        <v>0</v>
      </c>
      <c r="AQ47" s="2">
        <v>5.85</v>
      </c>
      <c r="AR47" s="2">
        <v>0</v>
      </c>
      <c r="AS47" s="2">
        <v>0</v>
      </c>
      <c r="AT47" s="2">
        <v>0</v>
      </c>
      <c r="AU47" s="3">
        <v>45760</v>
      </c>
      <c r="AV47" s="2" t="s">
        <v>316</v>
      </c>
      <c r="AW47" s="2" t="s">
        <v>317</v>
      </c>
      <c r="AX47" s="2" t="s">
        <v>302</v>
      </c>
      <c r="AY47" s="2" t="s">
        <v>318</v>
      </c>
      <c r="AZ47" s="2" t="s">
        <v>129</v>
      </c>
      <c r="BA47" s="2" t="s">
        <v>202</v>
      </c>
      <c r="BB47" s="2" t="s">
        <v>113</v>
      </c>
      <c r="BC47" s="2" t="s">
        <v>114</v>
      </c>
      <c r="BD47" s="2" t="s">
        <v>203</v>
      </c>
      <c r="BE47" s="2" t="s">
        <v>362</v>
      </c>
      <c r="BF47" s="2" t="s">
        <v>204</v>
      </c>
      <c r="BG47" s="2"/>
      <c r="BH47" s="2" t="s">
        <v>118</v>
      </c>
      <c r="BI47" s="2"/>
      <c r="BJ47" s="2"/>
      <c r="BK47" s="2"/>
      <c r="BL47" s="2"/>
      <c r="BM47" s="2">
        <v>2025</v>
      </c>
      <c r="BN47" s="2" t="s">
        <v>206</v>
      </c>
      <c r="BO47" s="2" t="s">
        <v>120</v>
      </c>
    </row>
    <row r="48" spans="1:67" x14ac:dyDescent="0.3">
      <c r="A48" s="2">
        <v>8536690000</v>
      </c>
      <c r="B48" s="2" t="s">
        <v>268</v>
      </c>
      <c r="C48" s="2" t="s">
        <v>92</v>
      </c>
      <c r="D48" s="2" t="s">
        <v>319</v>
      </c>
      <c r="E48" s="3">
        <v>45801</v>
      </c>
      <c r="F48" s="3">
        <v>45805</v>
      </c>
      <c r="G48" s="2" t="s">
        <v>193</v>
      </c>
      <c r="H48" s="2">
        <v>20392800434</v>
      </c>
      <c r="I48" s="2" t="s">
        <v>95</v>
      </c>
      <c r="J48" s="2"/>
      <c r="K48" s="2">
        <v>54.15</v>
      </c>
      <c r="L48" s="2">
        <v>42.23</v>
      </c>
      <c r="M48" s="2">
        <v>120</v>
      </c>
      <c r="N48" s="2" t="s">
        <v>194</v>
      </c>
      <c r="O48" s="2">
        <v>120</v>
      </c>
      <c r="P48" s="2" t="s">
        <v>194</v>
      </c>
      <c r="Q48" s="2">
        <v>614.4</v>
      </c>
      <c r="R48" s="2">
        <v>6.54</v>
      </c>
      <c r="S48" s="2">
        <v>620.94000000000005</v>
      </c>
      <c r="T48" s="2">
        <v>1.41</v>
      </c>
      <c r="U48" s="2">
        <v>622.35</v>
      </c>
      <c r="V48" s="2">
        <v>5.12</v>
      </c>
      <c r="W48" s="2">
        <v>5.1740000000000004</v>
      </c>
      <c r="X48" s="2">
        <v>5.1859999999999999</v>
      </c>
      <c r="Y48" s="2">
        <v>5.1859999999999999</v>
      </c>
      <c r="Z48" s="2">
        <v>5.12</v>
      </c>
      <c r="AA48" s="2">
        <v>5.1740000000000004</v>
      </c>
      <c r="AB48" s="2">
        <v>5.1859999999999999</v>
      </c>
      <c r="AC48" s="2">
        <v>5.1859999999999999</v>
      </c>
      <c r="AD48" s="2" t="s">
        <v>97</v>
      </c>
      <c r="AE48" s="2" t="s">
        <v>98</v>
      </c>
      <c r="AF48" s="2" t="s">
        <v>99</v>
      </c>
      <c r="AG48" s="2" t="s">
        <v>100</v>
      </c>
      <c r="AH48" s="2" t="s">
        <v>195</v>
      </c>
      <c r="AI48" s="2" t="s">
        <v>102</v>
      </c>
      <c r="AJ48" s="2" t="s">
        <v>103</v>
      </c>
      <c r="AK48" s="2" t="s">
        <v>196</v>
      </c>
      <c r="AL48" s="2" t="s">
        <v>105</v>
      </c>
      <c r="AM48" s="2" t="s">
        <v>320</v>
      </c>
      <c r="AN48" s="2">
        <v>0</v>
      </c>
      <c r="AO48" s="2">
        <v>99.58</v>
      </c>
      <c r="AP48" s="2">
        <v>0</v>
      </c>
      <c r="AQ48" s="2">
        <v>12.45</v>
      </c>
      <c r="AR48" s="2">
        <v>0</v>
      </c>
      <c r="AS48" s="2">
        <v>0</v>
      </c>
      <c r="AT48" s="2">
        <v>0</v>
      </c>
      <c r="AU48" s="3">
        <v>45760</v>
      </c>
      <c r="AV48" s="2" t="s">
        <v>321</v>
      </c>
      <c r="AW48" s="2" t="s">
        <v>322</v>
      </c>
      <c r="AX48" s="2" t="s">
        <v>302</v>
      </c>
      <c r="AY48" s="2" t="s">
        <v>323</v>
      </c>
      <c r="AZ48" s="2" t="s">
        <v>129</v>
      </c>
      <c r="BA48" s="2" t="s">
        <v>202</v>
      </c>
      <c r="BB48" s="2" t="s">
        <v>113</v>
      </c>
      <c r="BC48" s="2" t="s">
        <v>114</v>
      </c>
      <c r="BD48" s="2" t="s">
        <v>203</v>
      </c>
      <c r="BE48" s="2" t="s">
        <v>363</v>
      </c>
      <c r="BF48" s="2" t="s">
        <v>204</v>
      </c>
      <c r="BG48" s="2"/>
      <c r="BH48" s="2" t="s">
        <v>205</v>
      </c>
      <c r="BI48" s="2"/>
      <c r="BJ48" s="2"/>
      <c r="BK48" s="2" t="s">
        <v>283</v>
      </c>
      <c r="BL48" s="2"/>
      <c r="BM48" s="2">
        <v>2025</v>
      </c>
      <c r="BN48" s="2" t="s">
        <v>206</v>
      </c>
      <c r="BO48" s="2" t="s">
        <v>120</v>
      </c>
    </row>
    <row r="49" spans="1:67" x14ac:dyDescent="0.3">
      <c r="A49" s="2">
        <v>8536690000</v>
      </c>
      <c r="B49" s="2" t="s">
        <v>268</v>
      </c>
      <c r="C49" s="2" t="s">
        <v>92</v>
      </c>
      <c r="D49" s="2" t="s">
        <v>324</v>
      </c>
      <c r="E49" s="3">
        <v>46031</v>
      </c>
      <c r="F49" s="3">
        <v>46035</v>
      </c>
      <c r="G49" s="2" t="s">
        <v>94</v>
      </c>
      <c r="H49" s="2">
        <v>20392800434</v>
      </c>
      <c r="I49" s="2" t="s">
        <v>95</v>
      </c>
      <c r="J49" s="2"/>
      <c r="K49" s="2">
        <v>142.66999999999999</v>
      </c>
      <c r="L49" s="2">
        <v>132.84</v>
      </c>
      <c r="M49" s="2">
        <v>1200</v>
      </c>
      <c r="N49" s="2" t="s">
        <v>96</v>
      </c>
      <c r="O49" s="2">
        <v>1200</v>
      </c>
      <c r="P49" s="2" t="s">
        <v>96</v>
      </c>
      <c r="Q49" s="2">
        <v>1260</v>
      </c>
      <c r="R49" s="2">
        <v>26.38</v>
      </c>
      <c r="S49" s="2">
        <v>1286.3800000000001</v>
      </c>
      <c r="T49" s="2">
        <v>2.12</v>
      </c>
      <c r="U49" s="2">
        <v>1288.5</v>
      </c>
      <c r="V49" s="2">
        <v>1.05</v>
      </c>
      <c r="W49" s="2">
        <v>1.071</v>
      </c>
      <c r="X49" s="2">
        <v>1.073</v>
      </c>
      <c r="Y49" s="2">
        <v>1.073</v>
      </c>
      <c r="Z49" s="2">
        <v>1.05</v>
      </c>
      <c r="AA49" s="2">
        <v>1.071</v>
      </c>
      <c r="AB49" s="2">
        <v>1.073</v>
      </c>
      <c r="AC49" s="2">
        <v>1.073</v>
      </c>
      <c r="AD49" s="2" t="s">
        <v>97</v>
      </c>
      <c r="AE49" s="2" t="s">
        <v>98</v>
      </c>
      <c r="AF49" s="2" t="s">
        <v>99</v>
      </c>
      <c r="AG49" s="2" t="s">
        <v>100</v>
      </c>
      <c r="AH49" s="2" t="s">
        <v>101</v>
      </c>
      <c r="AI49" s="2" t="s">
        <v>102</v>
      </c>
      <c r="AJ49" s="2" t="s">
        <v>103</v>
      </c>
      <c r="AK49" s="2" t="s">
        <v>104</v>
      </c>
      <c r="AL49" s="2" t="s">
        <v>105</v>
      </c>
      <c r="AM49" s="2" t="s">
        <v>325</v>
      </c>
      <c r="AN49" s="2">
        <v>0</v>
      </c>
      <c r="AO49" s="2">
        <v>206.16</v>
      </c>
      <c r="AP49" s="2">
        <v>0</v>
      </c>
      <c r="AQ49" s="2">
        <v>25.77</v>
      </c>
      <c r="AR49" s="2">
        <v>0</v>
      </c>
      <c r="AS49" s="2">
        <v>0</v>
      </c>
      <c r="AT49" s="2">
        <v>0</v>
      </c>
      <c r="AU49" s="3">
        <v>46001</v>
      </c>
      <c r="AV49" s="2" t="s">
        <v>326</v>
      </c>
      <c r="AW49" s="2" t="s">
        <v>108</v>
      </c>
      <c r="AX49" s="2" t="s">
        <v>272</v>
      </c>
      <c r="AY49" s="2" t="s">
        <v>327</v>
      </c>
      <c r="AZ49" s="2" t="s">
        <v>111</v>
      </c>
      <c r="BA49" s="2" t="s">
        <v>112</v>
      </c>
      <c r="BB49" s="2" t="s">
        <v>113</v>
      </c>
      <c r="BC49" s="2" t="s">
        <v>114</v>
      </c>
      <c r="BD49" s="2" t="s">
        <v>115</v>
      </c>
      <c r="BE49" s="2" t="s">
        <v>363</v>
      </c>
      <c r="BF49" s="2" t="s">
        <v>116</v>
      </c>
      <c r="BG49" s="2" t="s">
        <v>117</v>
      </c>
      <c r="BH49" s="2" t="s">
        <v>118</v>
      </c>
      <c r="BI49" s="2"/>
      <c r="BJ49" s="2"/>
      <c r="BK49" s="2" t="s">
        <v>288</v>
      </c>
      <c r="BL49" s="2"/>
      <c r="BM49" s="2">
        <v>2026</v>
      </c>
      <c r="BN49" s="2" t="s">
        <v>119</v>
      </c>
      <c r="BO49" s="2" t="s">
        <v>120</v>
      </c>
    </row>
    <row r="50" spans="1:67" x14ac:dyDescent="0.3">
      <c r="A50" s="2">
        <v>8536690000</v>
      </c>
      <c r="B50" s="2" t="s">
        <v>268</v>
      </c>
      <c r="C50" s="2" t="s">
        <v>92</v>
      </c>
      <c r="D50" s="2" t="s">
        <v>328</v>
      </c>
      <c r="E50" s="3">
        <v>46031</v>
      </c>
      <c r="F50" s="3">
        <v>46035</v>
      </c>
      <c r="G50" s="2" t="s">
        <v>94</v>
      </c>
      <c r="H50" s="2">
        <v>20392800434</v>
      </c>
      <c r="I50" s="2" t="s">
        <v>95</v>
      </c>
      <c r="J50" s="2"/>
      <c r="K50" s="2">
        <v>28.53</v>
      </c>
      <c r="L50" s="2">
        <v>26.57</v>
      </c>
      <c r="M50" s="2">
        <v>400</v>
      </c>
      <c r="N50" s="2" t="s">
        <v>96</v>
      </c>
      <c r="O50" s="2">
        <v>400</v>
      </c>
      <c r="P50" s="2" t="s">
        <v>96</v>
      </c>
      <c r="Q50" s="2">
        <v>252</v>
      </c>
      <c r="R50" s="2">
        <v>5.27</v>
      </c>
      <c r="S50" s="2">
        <v>257.27</v>
      </c>
      <c r="T50" s="2">
        <v>0.42</v>
      </c>
      <c r="U50" s="2">
        <v>257.69</v>
      </c>
      <c r="V50" s="2">
        <v>0.63</v>
      </c>
      <c r="W50" s="2">
        <v>0.64300000000000002</v>
      </c>
      <c r="X50" s="2">
        <v>0.64400000000000002</v>
      </c>
      <c r="Y50" s="2">
        <v>0.64400000000000002</v>
      </c>
      <c r="Z50" s="2">
        <v>0.63</v>
      </c>
      <c r="AA50" s="2">
        <v>0.64300000000000002</v>
      </c>
      <c r="AB50" s="2">
        <v>0.64400000000000002</v>
      </c>
      <c r="AC50" s="2">
        <v>0.64400000000000002</v>
      </c>
      <c r="AD50" s="2" t="s">
        <v>97</v>
      </c>
      <c r="AE50" s="2" t="s">
        <v>98</v>
      </c>
      <c r="AF50" s="2" t="s">
        <v>99</v>
      </c>
      <c r="AG50" s="2" t="s">
        <v>100</v>
      </c>
      <c r="AH50" s="2" t="s">
        <v>101</v>
      </c>
      <c r="AI50" s="2" t="s">
        <v>102</v>
      </c>
      <c r="AJ50" s="2" t="s">
        <v>103</v>
      </c>
      <c r="AK50" s="2" t="s">
        <v>104</v>
      </c>
      <c r="AL50" s="2" t="s">
        <v>105</v>
      </c>
      <c r="AM50" s="2" t="s">
        <v>329</v>
      </c>
      <c r="AN50" s="2">
        <v>0</v>
      </c>
      <c r="AO50" s="2">
        <v>41.23</v>
      </c>
      <c r="AP50" s="2">
        <v>0</v>
      </c>
      <c r="AQ50" s="2">
        <v>5.15</v>
      </c>
      <c r="AR50" s="2">
        <v>0</v>
      </c>
      <c r="AS50" s="2">
        <v>0</v>
      </c>
      <c r="AT50" s="2">
        <v>0</v>
      </c>
      <c r="AU50" s="3">
        <v>46001</v>
      </c>
      <c r="AV50" s="2" t="s">
        <v>330</v>
      </c>
      <c r="AW50" s="2" t="s">
        <v>108</v>
      </c>
      <c r="AX50" s="2" t="s">
        <v>272</v>
      </c>
      <c r="AY50" s="2" t="s">
        <v>331</v>
      </c>
      <c r="AZ50" s="2" t="s">
        <v>111</v>
      </c>
      <c r="BA50" s="2" t="s">
        <v>112</v>
      </c>
      <c r="BB50" s="2" t="s">
        <v>113</v>
      </c>
      <c r="BC50" s="2" t="s">
        <v>114</v>
      </c>
      <c r="BD50" s="2" t="s">
        <v>115</v>
      </c>
      <c r="BE50" s="2" t="s">
        <v>362</v>
      </c>
      <c r="BF50" s="2" t="s">
        <v>116</v>
      </c>
      <c r="BG50" s="2" t="s">
        <v>117</v>
      </c>
      <c r="BH50" s="2" t="s">
        <v>118</v>
      </c>
      <c r="BI50" s="2"/>
      <c r="BJ50" s="2"/>
      <c r="BK50" s="2"/>
      <c r="BL50" s="2"/>
      <c r="BM50" s="2">
        <v>2026</v>
      </c>
      <c r="BN50" s="2" t="s">
        <v>119</v>
      </c>
      <c r="BO50" s="2" t="s">
        <v>120</v>
      </c>
    </row>
    <row r="51" spans="1:67" x14ac:dyDescent="0.3">
      <c r="A51" s="2">
        <v>8536690000</v>
      </c>
      <c r="B51" s="2" t="s">
        <v>268</v>
      </c>
      <c r="C51" s="2" t="s">
        <v>92</v>
      </c>
      <c r="D51" s="2" t="s">
        <v>332</v>
      </c>
      <c r="E51" s="3">
        <v>46031</v>
      </c>
      <c r="F51" s="3">
        <v>46035</v>
      </c>
      <c r="G51" s="2" t="s">
        <v>94</v>
      </c>
      <c r="H51" s="2">
        <v>20392800434</v>
      </c>
      <c r="I51" s="2" t="s">
        <v>95</v>
      </c>
      <c r="J51" s="2"/>
      <c r="K51" s="2">
        <v>114.14</v>
      </c>
      <c r="L51" s="2">
        <v>106.27</v>
      </c>
      <c r="M51" s="2">
        <v>1600</v>
      </c>
      <c r="N51" s="2" t="s">
        <v>96</v>
      </c>
      <c r="O51" s="2">
        <v>1600</v>
      </c>
      <c r="P51" s="2" t="s">
        <v>96</v>
      </c>
      <c r="Q51" s="2">
        <v>1008</v>
      </c>
      <c r="R51" s="2">
        <v>21.11</v>
      </c>
      <c r="S51" s="2">
        <v>1029.1099999999999</v>
      </c>
      <c r="T51" s="2">
        <v>1.69</v>
      </c>
      <c r="U51" s="2">
        <v>1030.8</v>
      </c>
      <c r="V51" s="2">
        <v>0.63</v>
      </c>
      <c r="W51" s="2">
        <v>0.64300000000000002</v>
      </c>
      <c r="X51" s="2">
        <v>0.64400000000000002</v>
      </c>
      <c r="Y51" s="2">
        <v>0.64400000000000002</v>
      </c>
      <c r="Z51" s="2">
        <v>0.63</v>
      </c>
      <c r="AA51" s="2">
        <v>0.64300000000000002</v>
      </c>
      <c r="AB51" s="2">
        <v>0.64400000000000002</v>
      </c>
      <c r="AC51" s="2">
        <v>0.64400000000000002</v>
      </c>
      <c r="AD51" s="2" t="s">
        <v>97</v>
      </c>
      <c r="AE51" s="2" t="s">
        <v>98</v>
      </c>
      <c r="AF51" s="2" t="s">
        <v>99</v>
      </c>
      <c r="AG51" s="2" t="s">
        <v>100</v>
      </c>
      <c r="AH51" s="2" t="s">
        <v>101</v>
      </c>
      <c r="AI51" s="2" t="s">
        <v>102</v>
      </c>
      <c r="AJ51" s="2" t="s">
        <v>103</v>
      </c>
      <c r="AK51" s="2" t="s">
        <v>104</v>
      </c>
      <c r="AL51" s="2" t="s">
        <v>105</v>
      </c>
      <c r="AM51" s="2" t="s">
        <v>333</v>
      </c>
      <c r="AN51" s="2">
        <v>0</v>
      </c>
      <c r="AO51" s="2">
        <v>164.93</v>
      </c>
      <c r="AP51" s="2">
        <v>0</v>
      </c>
      <c r="AQ51" s="2">
        <v>20.62</v>
      </c>
      <c r="AR51" s="2">
        <v>0</v>
      </c>
      <c r="AS51" s="2">
        <v>0</v>
      </c>
      <c r="AT51" s="2">
        <v>0</v>
      </c>
      <c r="AU51" s="3">
        <v>46001</v>
      </c>
      <c r="AV51" s="2" t="s">
        <v>334</v>
      </c>
      <c r="AW51" s="2" t="s">
        <v>108</v>
      </c>
      <c r="AX51" s="2" t="s">
        <v>272</v>
      </c>
      <c r="AY51" s="2" t="s">
        <v>335</v>
      </c>
      <c r="AZ51" s="2" t="s">
        <v>111</v>
      </c>
      <c r="BA51" s="2" t="s">
        <v>112</v>
      </c>
      <c r="BB51" s="2" t="s">
        <v>113</v>
      </c>
      <c r="BC51" s="2" t="s">
        <v>114</v>
      </c>
      <c r="BD51" s="2" t="s">
        <v>115</v>
      </c>
      <c r="BE51" s="2" t="s">
        <v>362</v>
      </c>
      <c r="BF51" s="2" t="s">
        <v>116</v>
      </c>
      <c r="BG51" s="2" t="s">
        <v>117</v>
      </c>
      <c r="BH51" s="2" t="s">
        <v>118</v>
      </c>
      <c r="BI51" s="2"/>
      <c r="BJ51" s="2"/>
      <c r="BK51" s="2" t="s">
        <v>288</v>
      </c>
      <c r="BL51" s="2"/>
      <c r="BM51" s="2">
        <v>2026</v>
      </c>
      <c r="BN51" s="2" t="s">
        <v>119</v>
      </c>
      <c r="BO51" s="2" t="s">
        <v>120</v>
      </c>
    </row>
    <row r="52" spans="1:67" x14ac:dyDescent="0.3">
      <c r="A52" s="2">
        <v>8536690000</v>
      </c>
      <c r="B52" s="2" t="s">
        <v>268</v>
      </c>
      <c r="C52" s="2" t="s">
        <v>92</v>
      </c>
      <c r="D52" s="2" t="s">
        <v>336</v>
      </c>
      <c r="E52" s="3">
        <v>46031</v>
      </c>
      <c r="F52" s="3">
        <v>46035</v>
      </c>
      <c r="G52" s="2" t="s">
        <v>94</v>
      </c>
      <c r="H52" s="2">
        <v>20392800434</v>
      </c>
      <c r="I52" s="2" t="s">
        <v>95</v>
      </c>
      <c r="J52" s="2"/>
      <c r="K52" s="2">
        <v>1131.31</v>
      </c>
      <c r="L52" s="2">
        <v>1053.3900000000001</v>
      </c>
      <c r="M52" s="2">
        <v>9700</v>
      </c>
      <c r="N52" s="2" t="s">
        <v>96</v>
      </c>
      <c r="O52" s="2">
        <v>9700</v>
      </c>
      <c r="P52" s="2" t="s">
        <v>96</v>
      </c>
      <c r="Q52" s="2">
        <v>9991</v>
      </c>
      <c r="R52" s="2">
        <v>209.23</v>
      </c>
      <c r="S52" s="2">
        <v>10200.23</v>
      </c>
      <c r="T52" s="2">
        <v>16.82</v>
      </c>
      <c r="U52" s="2">
        <v>10217.049999999999</v>
      </c>
      <c r="V52" s="2">
        <v>1.03</v>
      </c>
      <c r="W52" s="2">
        <v>1.0509999999999999</v>
      </c>
      <c r="X52" s="2">
        <v>1.0529999999999999</v>
      </c>
      <c r="Y52" s="2">
        <v>1.0529999999999999</v>
      </c>
      <c r="Z52" s="2">
        <v>1.03</v>
      </c>
      <c r="AA52" s="2">
        <v>1.0509999999999999</v>
      </c>
      <c r="AB52" s="2">
        <v>1.0529999999999999</v>
      </c>
      <c r="AC52" s="2">
        <v>1.0529999999999999</v>
      </c>
      <c r="AD52" s="2" t="s">
        <v>97</v>
      </c>
      <c r="AE52" s="2" t="s">
        <v>98</v>
      </c>
      <c r="AF52" s="2" t="s">
        <v>99</v>
      </c>
      <c r="AG52" s="2" t="s">
        <v>100</v>
      </c>
      <c r="AH52" s="2" t="s">
        <v>101</v>
      </c>
      <c r="AI52" s="2" t="s">
        <v>102</v>
      </c>
      <c r="AJ52" s="2" t="s">
        <v>103</v>
      </c>
      <c r="AK52" s="2" t="s">
        <v>104</v>
      </c>
      <c r="AL52" s="2" t="s">
        <v>105</v>
      </c>
      <c r="AM52" s="2" t="s">
        <v>337</v>
      </c>
      <c r="AN52" s="2">
        <v>0</v>
      </c>
      <c r="AO52" s="2">
        <v>1634.73</v>
      </c>
      <c r="AP52" s="2">
        <v>0</v>
      </c>
      <c r="AQ52" s="2">
        <v>204.34</v>
      </c>
      <c r="AR52" s="2">
        <v>0</v>
      </c>
      <c r="AS52" s="2">
        <v>0</v>
      </c>
      <c r="AT52" s="2">
        <v>0</v>
      </c>
      <c r="AU52" s="3">
        <v>46001</v>
      </c>
      <c r="AV52" s="2" t="s">
        <v>338</v>
      </c>
      <c r="AW52" s="2" t="s">
        <v>108</v>
      </c>
      <c r="AX52" s="2" t="s">
        <v>272</v>
      </c>
      <c r="AY52" s="2" t="s">
        <v>339</v>
      </c>
      <c r="AZ52" s="2" t="s">
        <v>111</v>
      </c>
      <c r="BA52" s="2" t="s">
        <v>112</v>
      </c>
      <c r="BB52" s="2" t="s">
        <v>113</v>
      </c>
      <c r="BC52" s="2" t="s">
        <v>114</v>
      </c>
      <c r="BD52" s="2" t="s">
        <v>115</v>
      </c>
      <c r="BE52" s="2" t="s">
        <v>363</v>
      </c>
      <c r="BF52" s="2" t="s">
        <v>116</v>
      </c>
      <c r="BG52" s="2" t="s">
        <v>117</v>
      </c>
      <c r="BH52" s="2" t="s">
        <v>118</v>
      </c>
      <c r="BI52" s="2"/>
      <c r="BJ52" s="2"/>
      <c r="BK52" s="2" t="s">
        <v>283</v>
      </c>
      <c r="BL52" s="2"/>
      <c r="BM52" s="2">
        <v>2026</v>
      </c>
      <c r="BN52" s="2" t="s">
        <v>119</v>
      </c>
      <c r="BO52" s="2" t="s">
        <v>120</v>
      </c>
    </row>
    <row r="53" spans="1:67" x14ac:dyDescent="0.3">
      <c r="A53" s="2">
        <v>8536690000</v>
      </c>
      <c r="B53" s="2" t="s">
        <v>268</v>
      </c>
      <c r="C53" s="2" t="s">
        <v>92</v>
      </c>
      <c r="D53" s="2" t="s">
        <v>340</v>
      </c>
      <c r="E53" s="3">
        <v>46031</v>
      </c>
      <c r="F53" s="3">
        <v>46035</v>
      </c>
      <c r="G53" s="2" t="s">
        <v>94</v>
      </c>
      <c r="H53" s="2">
        <v>20392800434</v>
      </c>
      <c r="I53" s="2" t="s">
        <v>95</v>
      </c>
      <c r="J53" s="2"/>
      <c r="K53" s="2">
        <v>28.3</v>
      </c>
      <c r="L53" s="2">
        <v>26.35</v>
      </c>
      <c r="M53" s="2">
        <v>200</v>
      </c>
      <c r="N53" s="2" t="s">
        <v>96</v>
      </c>
      <c r="O53" s="2">
        <v>200</v>
      </c>
      <c r="P53" s="2" t="s">
        <v>96</v>
      </c>
      <c r="Q53" s="2">
        <v>250</v>
      </c>
      <c r="R53" s="2">
        <v>5.23</v>
      </c>
      <c r="S53" s="2">
        <v>255.23</v>
      </c>
      <c r="T53" s="2">
        <v>0.42</v>
      </c>
      <c r="U53" s="2">
        <v>255.65</v>
      </c>
      <c r="V53" s="2">
        <v>1.25</v>
      </c>
      <c r="W53" s="2">
        <v>1.276</v>
      </c>
      <c r="X53" s="2">
        <v>1.278</v>
      </c>
      <c r="Y53" s="2">
        <v>1.278</v>
      </c>
      <c r="Z53" s="2">
        <v>1.25</v>
      </c>
      <c r="AA53" s="2">
        <v>1.276</v>
      </c>
      <c r="AB53" s="2">
        <v>1.278</v>
      </c>
      <c r="AC53" s="2">
        <v>1.278</v>
      </c>
      <c r="AD53" s="2" t="s">
        <v>97</v>
      </c>
      <c r="AE53" s="2" t="s">
        <v>98</v>
      </c>
      <c r="AF53" s="2" t="s">
        <v>99</v>
      </c>
      <c r="AG53" s="2" t="s">
        <v>100</v>
      </c>
      <c r="AH53" s="2" t="s">
        <v>101</v>
      </c>
      <c r="AI53" s="2" t="s">
        <v>102</v>
      </c>
      <c r="AJ53" s="2" t="s">
        <v>103</v>
      </c>
      <c r="AK53" s="2" t="s">
        <v>104</v>
      </c>
      <c r="AL53" s="2" t="s">
        <v>105</v>
      </c>
      <c r="AM53" s="2" t="s">
        <v>341</v>
      </c>
      <c r="AN53" s="2">
        <v>0</v>
      </c>
      <c r="AO53" s="2">
        <v>40.909999999999997</v>
      </c>
      <c r="AP53" s="2">
        <v>0</v>
      </c>
      <c r="AQ53" s="2">
        <v>5.1100000000000003</v>
      </c>
      <c r="AR53" s="2">
        <v>0</v>
      </c>
      <c r="AS53" s="2">
        <v>0</v>
      </c>
      <c r="AT53" s="2">
        <v>0</v>
      </c>
      <c r="AU53" s="3">
        <v>46001</v>
      </c>
      <c r="AV53" s="2" t="s">
        <v>326</v>
      </c>
      <c r="AW53" s="2" t="s">
        <v>123</v>
      </c>
      <c r="AX53" s="2" t="s">
        <v>272</v>
      </c>
      <c r="AY53" s="2" t="s">
        <v>327</v>
      </c>
      <c r="AZ53" s="2" t="s">
        <v>111</v>
      </c>
      <c r="BA53" s="2" t="s">
        <v>112</v>
      </c>
      <c r="BB53" s="2" t="s">
        <v>113</v>
      </c>
      <c r="BC53" s="2" t="s">
        <v>114</v>
      </c>
      <c r="BD53" s="2" t="s">
        <v>115</v>
      </c>
      <c r="BE53" s="2" t="s">
        <v>363</v>
      </c>
      <c r="BF53" s="2" t="s">
        <v>116</v>
      </c>
      <c r="BG53" s="2" t="s">
        <v>117</v>
      </c>
      <c r="BH53" s="2" t="s">
        <v>124</v>
      </c>
      <c r="BI53" s="2"/>
      <c r="BJ53" s="2"/>
      <c r="BK53" s="2" t="s">
        <v>288</v>
      </c>
      <c r="BL53" s="2"/>
      <c r="BM53" s="2">
        <v>2026</v>
      </c>
      <c r="BN53" s="2" t="s">
        <v>119</v>
      </c>
      <c r="BO53" s="2" t="s">
        <v>120</v>
      </c>
    </row>
    <row r="54" spans="1:67" x14ac:dyDescent="0.3">
      <c r="A54" s="2">
        <v>8536690000</v>
      </c>
      <c r="B54" s="2" t="s">
        <v>268</v>
      </c>
      <c r="C54" s="2" t="s">
        <v>92</v>
      </c>
      <c r="D54" s="2" t="s">
        <v>342</v>
      </c>
      <c r="E54" s="3">
        <v>46031</v>
      </c>
      <c r="F54" s="3">
        <v>46035</v>
      </c>
      <c r="G54" s="2" t="s">
        <v>94</v>
      </c>
      <c r="H54" s="2">
        <v>20392800434</v>
      </c>
      <c r="I54" s="2" t="s">
        <v>95</v>
      </c>
      <c r="J54" s="2"/>
      <c r="K54" s="2">
        <v>9.0500000000000007</v>
      </c>
      <c r="L54" s="2">
        <v>8.43</v>
      </c>
      <c r="M54" s="2">
        <v>100</v>
      </c>
      <c r="N54" s="2" t="s">
        <v>96</v>
      </c>
      <c r="O54" s="2">
        <v>100</v>
      </c>
      <c r="P54" s="2" t="s">
        <v>96</v>
      </c>
      <c r="Q54" s="2">
        <v>80</v>
      </c>
      <c r="R54" s="2">
        <v>1.67</v>
      </c>
      <c r="S54" s="2">
        <v>81.67</v>
      </c>
      <c r="T54" s="2">
        <v>0.13</v>
      </c>
      <c r="U54" s="2">
        <v>81.8</v>
      </c>
      <c r="V54" s="2">
        <v>0.8</v>
      </c>
      <c r="W54" s="2">
        <v>0.81599999999999995</v>
      </c>
      <c r="X54" s="2">
        <v>0.81799999999999995</v>
      </c>
      <c r="Y54" s="2">
        <v>0.81799999999999995</v>
      </c>
      <c r="Z54" s="2">
        <v>0.8</v>
      </c>
      <c r="AA54" s="2">
        <v>0.81599999999999995</v>
      </c>
      <c r="AB54" s="2">
        <v>0.81799999999999995</v>
      </c>
      <c r="AC54" s="2">
        <v>0.81799999999999995</v>
      </c>
      <c r="AD54" s="2" t="s">
        <v>97</v>
      </c>
      <c r="AE54" s="2" t="s">
        <v>98</v>
      </c>
      <c r="AF54" s="2" t="s">
        <v>99</v>
      </c>
      <c r="AG54" s="2" t="s">
        <v>100</v>
      </c>
      <c r="AH54" s="2" t="s">
        <v>101</v>
      </c>
      <c r="AI54" s="2" t="s">
        <v>102</v>
      </c>
      <c r="AJ54" s="2" t="s">
        <v>103</v>
      </c>
      <c r="AK54" s="2" t="s">
        <v>104</v>
      </c>
      <c r="AL54" s="2" t="s">
        <v>105</v>
      </c>
      <c r="AM54" s="2" t="s">
        <v>343</v>
      </c>
      <c r="AN54" s="2">
        <v>0</v>
      </c>
      <c r="AO54" s="2">
        <v>13.09</v>
      </c>
      <c r="AP54" s="2">
        <v>0</v>
      </c>
      <c r="AQ54" s="2">
        <v>1.64</v>
      </c>
      <c r="AR54" s="2">
        <v>0</v>
      </c>
      <c r="AS54" s="2">
        <v>0</v>
      </c>
      <c r="AT54" s="2">
        <v>0</v>
      </c>
      <c r="AU54" s="3">
        <v>46001</v>
      </c>
      <c r="AV54" s="2" t="s">
        <v>330</v>
      </c>
      <c r="AW54" s="2" t="s">
        <v>123</v>
      </c>
      <c r="AX54" s="2" t="s">
        <v>272</v>
      </c>
      <c r="AY54" s="2" t="s">
        <v>331</v>
      </c>
      <c r="AZ54" s="2" t="s">
        <v>111</v>
      </c>
      <c r="BA54" s="2" t="s">
        <v>112</v>
      </c>
      <c r="BB54" s="2" t="s">
        <v>113</v>
      </c>
      <c r="BC54" s="2" t="s">
        <v>114</v>
      </c>
      <c r="BD54" s="2" t="s">
        <v>115</v>
      </c>
      <c r="BE54" s="2" t="s">
        <v>362</v>
      </c>
      <c r="BF54" s="2" t="s">
        <v>116</v>
      </c>
      <c r="BG54" s="2" t="s">
        <v>117</v>
      </c>
      <c r="BH54" s="2" t="s">
        <v>124</v>
      </c>
      <c r="BI54" s="2"/>
      <c r="BJ54" s="2"/>
      <c r="BK54" s="2"/>
      <c r="BL54" s="2"/>
      <c r="BM54" s="2">
        <v>2026</v>
      </c>
      <c r="BN54" s="2" t="s">
        <v>119</v>
      </c>
      <c r="BO54" s="2" t="s">
        <v>120</v>
      </c>
    </row>
    <row r="55" spans="1:67" x14ac:dyDescent="0.3">
      <c r="A55" s="2">
        <v>8536690000</v>
      </c>
      <c r="B55" s="2" t="s">
        <v>268</v>
      </c>
      <c r="C55" s="2" t="s">
        <v>92</v>
      </c>
      <c r="D55" s="2" t="s">
        <v>344</v>
      </c>
      <c r="E55" s="3">
        <v>46031</v>
      </c>
      <c r="F55" s="3">
        <v>46035</v>
      </c>
      <c r="G55" s="2" t="s">
        <v>94</v>
      </c>
      <c r="H55" s="2">
        <v>20392800434</v>
      </c>
      <c r="I55" s="2" t="s">
        <v>95</v>
      </c>
      <c r="J55" s="2"/>
      <c r="K55" s="2">
        <v>18.34</v>
      </c>
      <c r="L55" s="2">
        <v>17.079999999999998</v>
      </c>
      <c r="M55" s="2">
        <v>200</v>
      </c>
      <c r="N55" s="2" t="s">
        <v>96</v>
      </c>
      <c r="O55" s="2">
        <v>200</v>
      </c>
      <c r="P55" s="2" t="s">
        <v>96</v>
      </c>
      <c r="Q55" s="2">
        <v>162</v>
      </c>
      <c r="R55" s="2">
        <v>3.39</v>
      </c>
      <c r="S55" s="2">
        <v>165.39</v>
      </c>
      <c r="T55" s="2">
        <v>0.27</v>
      </c>
      <c r="U55" s="2">
        <v>165.66</v>
      </c>
      <c r="V55" s="2">
        <v>0.81</v>
      </c>
      <c r="W55" s="2">
        <v>0.82599999999999996</v>
      </c>
      <c r="X55" s="2">
        <v>0.82799999999999996</v>
      </c>
      <c r="Y55" s="2">
        <v>0.82799999999999996</v>
      </c>
      <c r="Z55" s="2">
        <v>0.81</v>
      </c>
      <c r="AA55" s="2">
        <v>0.82599999999999996</v>
      </c>
      <c r="AB55" s="2">
        <v>0.82799999999999996</v>
      </c>
      <c r="AC55" s="2">
        <v>0.82799999999999996</v>
      </c>
      <c r="AD55" s="2" t="s">
        <v>97</v>
      </c>
      <c r="AE55" s="2" t="s">
        <v>98</v>
      </c>
      <c r="AF55" s="2" t="s">
        <v>99</v>
      </c>
      <c r="AG55" s="2" t="s">
        <v>100</v>
      </c>
      <c r="AH55" s="2" t="s">
        <v>101</v>
      </c>
      <c r="AI55" s="2" t="s">
        <v>102</v>
      </c>
      <c r="AJ55" s="2" t="s">
        <v>103</v>
      </c>
      <c r="AK55" s="2" t="s">
        <v>104</v>
      </c>
      <c r="AL55" s="2" t="s">
        <v>105</v>
      </c>
      <c r="AM55" s="2" t="s">
        <v>345</v>
      </c>
      <c r="AN55" s="2">
        <v>0</v>
      </c>
      <c r="AO55" s="2">
        <v>26.51</v>
      </c>
      <c r="AP55" s="2">
        <v>0</v>
      </c>
      <c r="AQ55" s="2">
        <v>3.31</v>
      </c>
      <c r="AR55" s="2">
        <v>0</v>
      </c>
      <c r="AS55" s="2">
        <v>0</v>
      </c>
      <c r="AT55" s="2">
        <v>0</v>
      </c>
      <c r="AU55" s="3">
        <v>46001</v>
      </c>
      <c r="AV55" s="2" t="s">
        <v>334</v>
      </c>
      <c r="AW55" s="2" t="s">
        <v>123</v>
      </c>
      <c r="AX55" s="2" t="s">
        <v>272</v>
      </c>
      <c r="AY55" s="2" t="s">
        <v>335</v>
      </c>
      <c r="AZ55" s="2" t="s">
        <v>111</v>
      </c>
      <c r="BA55" s="2" t="s">
        <v>112</v>
      </c>
      <c r="BB55" s="2" t="s">
        <v>113</v>
      </c>
      <c r="BC55" s="2" t="s">
        <v>114</v>
      </c>
      <c r="BD55" s="2" t="s">
        <v>115</v>
      </c>
      <c r="BE55" s="2" t="s">
        <v>362</v>
      </c>
      <c r="BF55" s="2" t="s">
        <v>116</v>
      </c>
      <c r="BG55" s="2" t="s">
        <v>117</v>
      </c>
      <c r="BH55" s="2" t="s">
        <v>124</v>
      </c>
      <c r="BI55" s="2"/>
      <c r="BJ55" s="2"/>
      <c r="BK55" s="2" t="s">
        <v>288</v>
      </c>
      <c r="BL55" s="2"/>
      <c r="BM55" s="2">
        <v>2026</v>
      </c>
      <c r="BN55" s="2" t="s">
        <v>119</v>
      </c>
      <c r="BO55" s="2" t="s">
        <v>120</v>
      </c>
    </row>
    <row r="56" spans="1:67" x14ac:dyDescent="0.3">
      <c r="A56" s="2">
        <v>8536690000</v>
      </c>
      <c r="B56" s="2" t="s">
        <v>268</v>
      </c>
      <c r="C56" s="2" t="s">
        <v>92</v>
      </c>
      <c r="D56" s="2" t="s">
        <v>346</v>
      </c>
      <c r="E56" s="3">
        <v>46031</v>
      </c>
      <c r="F56" s="3">
        <v>46035</v>
      </c>
      <c r="G56" s="2" t="s">
        <v>94</v>
      </c>
      <c r="H56" s="2">
        <v>20392800434</v>
      </c>
      <c r="I56" s="2" t="s">
        <v>95</v>
      </c>
      <c r="J56" s="2"/>
      <c r="K56" s="2">
        <v>165.77</v>
      </c>
      <c r="L56" s="2">
        <v>154.35</v>
      </c>
      <c r="M56" s="2">
        <v>1200</v>
      </c>
      <c r="N56" s="2" t="s">
        <v>96</v>
      </c>
      <c r="O56" s="2">
        <v>1200</v>
      </c>
      <c r="P56" s="2" t="s">
        <v>96</v>
      </c>
      <c r="Q56" s="2">
        <v>1464</v>
      </c>
      <c r="R56" s="2">
        <v>30.66</v>
      </c>
      <c r="S56" s="2">
        <v>1494.66</v>
      </c>
      <c r="T56" s="2">
        <v>2.46</v>
      </c>
      <c r="U56" s="2">
        <v>1497.12</v>
      </c>
      <c r="V56" s="2">
        <v>1.22</v>
      </c>
      <c r="W56" s="2">
        <v>1.2450000000000001</v>
      </c>
      <c r="X56" s="2">
        <v>1.2470000000000001</v>
      </c>
      <c r="Y56" s="2">
        <v>1.2470000000000001</v>
      </c>
      <c r="Z56" s="2">
        <v>1.22</v>
      </c>
      <c r="AA56" s="2">
        <v>1.2450000000000001</v>
      </c>
      <c r="AB56" s="2">
        <v>1.2470000000000001</v>
      </c>
      <c r="AC56" s="2">
        <v>1.2470000000000001</v>
      </c>
      <c r="AD56" s="2" t="s">
        <v>97</v>
      </c>
      <c r="AE56" s="2" t="s">
        <v>98</v>
      </c>
      <c r="AF56" s="2" t="s">
        <v>99</v>
      </c>
      <c r="AG56" s="2" t="s">
        <v>100</v>
      </c>
      <c r="AH56" s="2" t="s">
        <v>101</v>
      </c>
      <c r="AI56" s="2" t="s">
        <v>102</v>
      </c>
      <c r="AJ56" s="2" t="s">
        <v>103</v>
      </c>
      <c r="AK56" s="2" t="s">
        <v>104</v>
      </c>
      <c r="AL56" s="2" t="s">
        <v>105</v>
      </c>
      <c r="AM56" s="2" t="s">
        <v>347</v>
      </c>
      <c r="AN56" s="2">
        <v>0</v>
      </c>
      <c r="AO56" s="2">
        <v>239.54</v>
      </c>
      <c r="AP56" s="2">
        <v>0</v>
      </c>
      <c r="AQ56" s="2">
        <v>29.94</v>
      </c>
      <c r="AR56" s="2">
        <v>0</v>
      </c>
      <c r="AS56" s="2">
        <v>0</v>
      </c>
      <c r="AT56" s="2">
        <v>0</v>
      </c>
      <c r="AU56" s="3">
        <v>46001</v>
      </c>
      <c r="AV56" s="2" t="s">
        <v>338</v>
      </c>
      <c r="AW56" s="2" t="s">
        <v>123</v>
      </c>
      <c r="AX56" s="2" t="s">
        <v>272</v>
      </c>
      <c r="AY56" s="2" t="s">
        <v>339</v>
      </c>
      <c r="AZ56" s="2" t="s">
        <v>111</v>
      </c>
      <c r="BA56" s="2" t="s">
        <v>112</v>
      </c>
      <c r="BB56" s="2" t="s">
        <v>113</v>
      </c>
      <c r="BC56" s="2" t="s">
        <v>114</v>
      </c>
      <c r="BD56" s="2" t="s">
        <v>115</v>
      </c>
      <c r="BE56" s="2" t="s">
        <v>363</v>
      </c>
      <c r="BF56" s="2" t="s">
        <v>116</v>
      </c>
      <c r="BG56" s="2" t="s">
        <v>117</v>
      </c>
      <c r="BH56" s="2" t="s">
        <v>124</v>
      </c>
      <c r="BI56" s="2"/>
      <c r="BJ56" s="2"/>
      <c r="BK56" s="2" t="s">
        <v>283</v>
      </c>
      <c r="BL56" s="2"/>
      <c r="BM56" s="2">
        <v>2026</v>
      </c>
      <c r="BN56" s="2" t="s">
        <v>119</v>
      </c>
      <c r="BO56" s="2" t="s">
        <v>120</v>
      </c>
    </row>
    <row r="57" spans="1:67" x14ac:dyDescent="0.3">
      <c r="A57" s="2">
        <v>8536690000</v>
      </c>
      <c r="B57" s="2" t="s">
        <v>268</v>
      </c>
      <c r="C57" s="2" t="s">
        <v>92</v>
      </c>
      <c r="D57" s="2" t="s">
        <v>348</v>
      </c>
      <c r="E57" s="3">
        <v>46031</v>
      </c>
      <c r="F57" s="3">
        <v>46035</v>
      </c>
      <c r="G57" s="2" t="s">
        <v>94</v>
      </c>
      <c r="H57" s="2">
        <v>20392800434</v>
      </c>
      <c r="I57" s="2" t="s">
        <v>95</v>
      </c>
      <c r="J57" s="2"/>
      <c r="K57" s="2">
        <v>54.78</v>
      </c>
      <c r="L57" s="2">
        <v>51.01</v>
      </c>
      <c r="M57" s="2">
        <v>672</v>
      </c>
      <c r="N57" s="2" t="s">
        <v>96</v>
      </c>
      <c r="O57" s="2">
        <v>672</v>
      </c>
      <c r="P57" s="2" t="s">
        <v>96</v>
      </c>
      <c r="Q57" s="2">
        <v>483.84</v>
      </c>
      <c r="R57" s="2">
        <v>10.130000000000001</v>
      </c>
      <c r="S57" s="2">
        <v>493.97</v>
      </c>
      <c r="T57" s="2">
        <v>0.81</v>
      </c>
      <c r="U57" s="2">
        <v>494.78</v>
      </c>
      <c r="V57" s="2">
        <v>0.72</v>
      </c>
      <c r="W57" s="2">
        <v>0.73499999999999999</v>
      </c>
      <c r="X57" s="2">
        <v>0.73599999999999999</v>
      </c>
      <c r="Y57" s="2">
        <v>0.73599999999999999</v>
      </c>
      <c r="Z57" s="2">
        <v>0.72</v>
      </c>
      <c r="AA57" s="2">
        <v>0.73499999999999999</v>
      </c>
      <c r="AB57" s="2">
        <v>0.73599999999999999</v>
      </c>
      <c r="AC57" s="2">
        <v>0.73599999999999999</v>
      </c>
      <c r="AD57" s="2" t="s">
        <v>97</v>
      </c>
      <c r="AE57" s="2" t="s">
        <v>98</v>
      </c>
      <c r="AF57" s="2" t="s">
        <v>99</v>
      </c>
      <c r="AG57" s="2" t="s">
        <v>100</v>
      </c>
      <c r="AH57" s="2" t="s">
        <v>101</v>
      </c>
      <c r="AI57" s="2" t="s">
        <v>102</v>
      </c>
      <c r="AJ57" s="2" t="s">
        <v>103</v>
      </c>
      <c r="AK57" s="2" t="s">
        <v>104</v>
      </c>
      <c r="AL57" s="2" t="s">
        <v>105</v>
      </c>
      <c r="AM57" s="2" t="s">
        <v>349</v>
      </c>
      <c r="AN57" s="2">
        <v>0</v>
      </c>
      <c r="AO57" s="2">
        <v>79.17</v>
      </c>
      <c r="AP57" s="2">
        <v>0</v>
      </c>
      <c r="AQ57" s="2">
        <v>9.9</v>
      </c>
      <c r="AR57" s="2">
        <v>0</v>
      </c>
      <c r="AS57" s="2">
        <v>0</v>
      </c>
      <c r="AT57" s="2">
        <v>0</v>
      </c>
      <c r="AU57" s="3">
        <v>46001</v>
      </c>
      <c r="AV57" s="2" t="s">
        <v>271</v>
      </c>
      <c r="AW57" s="2" t="s">
        <v>108</v>
      </c>
      <c r="AX57" s="2" t="s">
        <v>272</v>
      </c>
      <c r="AY57" s="2" t="s">
        <v>273</v>
      </c>
      <c r="AZ57" s="2" t="s">
        <v>129</v>
      </c>
      <c r="BA57" s="2" t="s">
        <v>112</v>
      </c>
      <c r="BB57" s="2" t="s">
        <v>113</v>
      </c>
      <c r="BC57" s="2" t="s">
        <v>114</v>
      </c>
      <c r="BD57" s="2" t="s">
        <v>115</v>
      </c>
      <c r="BE57" s="2" t="s">
        <v>363</v>
      </c>
      <c r="BF57" s="2" t="s">
        <v>116</v>
      </c>
      <c r="BG57" s="2"/>
      <c r="BH57" s="2" t="s">
        <v>118</v>
      </c>
      <c r="BI57" s="2"/>
      <c r="BJ57" s="2"/>
      <c r="BK57" s="2" t="s">
        <v>274</v>
      </c>
      <c r="BL57" s="2"/>
      <c r="BM57" s="2">
        <v>2026</v>
      </c>
      <c r="BN57" s="2" t="s">
        <v>119</v>
      </c>
      <c r="BO57" s="2" t="s">
        <v>120</v>
      </c>
    </row>
    <row r="58" spans="1:67" x14ac:dyDescent="0.3">
      <c r="A58" s="2">
        <v>8536690000</v>
      </c>
      <c r="B58" s="2" t="s">
        <v>268</v>
      </c>
      <c r="C58" s="2" t="s">
        <v>92</v>
      </c>
      <c r="D58" s="2" t="s">
        <v>350</v>
      </c>
      <c r="E58" s="3">
        <v>46031</v>
      </c>
      <c r="F58" s="3">
        <v>46035</v>
      </c>
      <c r="G58" s="2" t="s">
        <v>94</v>
      </c>
      <c r="H58" s="2">
        <v>20392800434</v>
      </c>
      <c r="I58" s="2" t="s">
        <v>95</v>
      </c>
      <c r="J58" s="2"/>
      <c r="K58" s="2">
        <v>602.65</v>
      </c>
      <c r="L58" s="2">
        <v>561.14</v>
      </c>
      <c r="M58" s="2">
        <v>6048</v>
      </c>
      <c r="N58" s="2" t="s">
        <v>96</v>
      </c>
      <c r="O58" s="2">
        <v>6048</v>
      </c>
      <c r="P58" s="2" t="s">
        <v>96</v>
      </c>
      <c r="Q58" s="2">
        <v>5322.24</v>
      </c>
      <c r="R58" s="2">
        <v>111.46</v>
      </c>
      <c r="S58" s="2">
        <v>5433.7</v>
      </c>
      <c r="T58" s="2">
        <v>8.9600000000000009</v>
      </c>
      <c r="U58" s="2">
        <v>5442.66</v>
      </c>
      <c r="V58" s="2">
        <v>0.88</v>
      </c>
      <c r="W58" s="2">
        <v>0.89800000000000002</v>
      </c>
      <c r="X58" s="2">
        <v>0.89900000000000002</v>
      </c>
      <c r="Y58" s="2">
        <v>0.89900000000000002</v>
      </c>
      <c r="Z58" s="2">
        <v>0.88</v>
      </c>
      <c r="AA58" s="2">
        <v>0.89800000000000002</v>
      </c>
      <c r="AB58" s="2">
        <v>0.89900000000000002</v>
      </c>
      <c r="AC58" s="2">
        <v>0.89900000000000002</v>
      </c>
      <c r="AD58" s="2" t="s">
        <v>97</v>
      </c>
      <c r="AE58" s="2" t="s">
        <v>98</v>
      </c>
      <c r="AF58" s="2" t="s">
        <v>99</v>
      </c>
      <c r="AG58" s="2" t="s">
        <v>100</v>
      </c>
      <c r="AH58" s="2" t="s">
        <v>101</v>
      </c>
      <c r="AI58" s="2" t="s">
        <v>102</v>
      </c>
      <c r="AJ58" s="2" t="s">
        <v>103</v>
      </c>
      <c r="AK58" s="2" t="s">
        <v>104</v>
      </c>
      <c r="AL58" s="2" t="s">
        <v>105</v>
      </c>
      <c r="AM58" s="2" t="s">
        <v>351</v>
      </c>
      <c r="AN58" s="2">
        <v>0</v>
      </c>
      <c r="AO58" s="2">
        <v>870.83</v>
      </c>
      <c r="AP58" s="2">
        <v>0</v>
      </c>
      <c r="AQ58" s="2">
        <v>108.85</v>
      </c>
      <c r="AR58" s="2">
        <v>0</v>
      </c>
      <c r="AS58" s="2">
        <v>0</v>
      </c>
      <c r="AT58" s="2">
        <v>0</v>
      </c>
      <c r="AU58" s="3">
        <v>46001</v>
      </c>
      <c r="AV58" s="2" t="s">
        <v>281</v>
      </c>
      <c r="AW58" s="2" t="s">
        <v>108</v>
      </c>
      <c r="AX58" s="2" t="s">
        <v>272</v>
      </c>
      <c r="AY58" s="2" t="s">
        <v>282</v>
      </c>
      <c r="AZ58" s="2" t="s">
        <v>129</v>
      </c>
      <c r="BA58" s="2" t="s">
        <v>112</v>
      </c>
      <c r="BB58" s="2" t="s">
        <v>113</v>
      </c>
      <c r="BC58" s="2" t="s">
        <v>114</v>
      </c>
      <c r="BD58" s="2" t="s">
        <v>115</v>
      </c>
      <c r="BE58" s="2" t="s">
        <v>363</v>
      </c>
      <c r="BF58" s="2" t="s">
        <v>116</v>
      </c>
      <c r="BG58" s="2"/>
      <c r="BH58" s="2" t="s">
        <v>118</v>
      </c>
      <c r="BI58" s="2"/>
      <c r="BJ58" s="2"/>
      <c r="BK58" s="2" t="s">
        <v>283</v>
      </c>
      <c r="BL58" s="2"/>
      <c r="BM58" s="2">
        <v>2026</v>
      </c>
      <c r="BN58" s="2" t="s">
        <v>119</v>
      </c>
      <c r="BO58" s="2" t="s">
        <v>120</v>
      </c>
    </row>
    <row r="59" spans="1:67" x14ac:dyDescent="0.3">
      <c r="A59" s="2">
        <v>8538900000</v>
      </c>
      <c r="B59" s="2" t="s">
        <v>352</v>
      </c>
      <c r="C59" s="2" t="s">
        <v>92</v>
      </c>
      <c r="D59" s="2" t="s">
        <v>353</v>
      </c>
      <c r="E59" s="3">
        <v>46031</v>
      </c>
      <c r="F59" s="3">
        <v>46035</v>
      </c>
      <c r="G59" s="2" t="s">
        <v>94</v>
      </c>
      <c r="H59" s="2">
        <v>20392800434</v>
      </c>
      <c r="I59" s="2" t="s">
        <v>95</v>
      </c>
      <c r="J59" s="2"/>
      <c r="K59" s="2">
        <v>105.98</v>
      </c>
      <c r="L59" s="2">
        <v>98.68</v>
      </c>
      <c r="M59" s="2">
        <v>1200</v>
      </c>
      <c r="N59" s="2" t="s">
        <v>96</v>
      </c>
      <c r="O59" s="2">
        <v>1200</v>
      </c>
      <c r="P59" s="2" t="s">
        <v>96</v>
      </c>
      <c r="Q59" s="2">
        <v>936</v>
      </c>
      <c r="R59" s="2">
        <v>19.600000000000001</v>
      </c>
      <c r="S59" s="2">
        <v>955.6</v>
      </c>
      <c r="T59" s="2">
        <v>1.57</v>
      </c>
      <c r="U59" s="2">
        <v>957.17</v>
      </c>
      <c r="V59" s="2">
        <v>0.78</v>
      </c>
      <c r="W59" s="2">
        <v>0.79600000000000004</v>
      </c>
      <c r="X59" s="2">
        <v>0.79700000000000004</v>
      </c>
      <c r="Y59" s="2">
        <v>0.79700000000000004</v>
      </c>
      <c r="Z59" s="2">
        <v>0.78</v>
      </c>
      <c r="AA59" s="2">
        <v>0.79600000000000004</v>
      </c>
      <c r="AB59" s="2">
        <v>0.79700000000000004</v>
      </c>
      <c r="AC59" s="2">
        <v>0.79700000000000004</v>
      </c>
      <c r="AD59" s="2" t="s">
        <v>97</v>
      </c>
      <c r="AE59" s="2" t="s">
        <v>98</v>
      </c>
      <c r="AF59" s="2" t="s">
        <v>99</v>
      </c>
      <c r="AG59" s="2" t="s">
        <v>100</v>
      </c>
      <c r="AH59" s="2" t="s">
        <v>101</v>
      </c>
      <c r="AI59" s="2" t="s">
        <v>102</v>
      </c>
      <c r="AJ59" s="2" t="s">
        <v>103</v>
      </c>
      <c r="AK59" s="2" t="s">
        <v>104</v>
      </c>
      <c r="AL59" s="2" t="s">
        <v>105</v>
      </c>
      <c r="AM59" s="2" t="s">
        <v>354</v>
      </c>
      <c r="AN59" s="2">
        <v>0</v>
      </c>
      <c r="AO59" s="2">
        <v>153.15</v>
      </c>
      <c r="AP59" s="2">
        <v>0</v>
      </c>
      <c r="AQ59" s="2">
        <v>19.14</v>
      </c>
      <c r="AR59" s="2">
        <v>0</v>
      </c>
      <c r="AS59" s="2">
        <v>0</v>
      </c>
      <c r="AT59" s="2">
        <v>0</v>
      </c>
      <c r="AU59" s="3">
        <v>46001</v>
      </c>
      <c r="AV59" s="2" t="s">
        <v>355</v>
      </c>
      <c r="AW59" s="2" t="s">
        <v>108</v>
      </c>
      <c r="AX59" s="2" t="s">
        <v>356</v>
      </c>
      <c r="AY59" s="2" t="s">
        <v>357</v>
      </c>
      <c r="AZ59" s="2" t="s">
        <v>129</v>
      </c>
      <c r="BA59" s="2" t="s">
        <v>112</v>
      </c>
      <c r="BB59" s="2" t="s">
        <v>113</v>
      </c>
      <c r="BC59" s="2" t="s">
        <v>114</v>
      </c>
      <c r="BD59" s="2" t="s">
        <v>115</v>
      </c>
      <c r="BE59" s="2" t="s">
        <v>16</v>
      </c>
      <c r="BF59" s="2" t="s">
        <v>116</v>
      </c>
      <c r="BG59" s="2"/>
      <c r="BH59" s="2" t="s">
        <v>118</v>
      </c>
      <c r="BI59" s="2"/>
      <c r="BJ59" s="2"/>
      <c r="BK59" s="2"/>
      <c r="BL59" s="2"/>
      <c r="BM59" s="2">
        <v>2026</v>
      </c>
      <c r="BN59" s="2" t="s">
        <v>119</v>
      </c>
      <c r="BO59" s="2" t="s">
        <v>120</v>
      </c>
    </row>
  </sheetData>
  <autoFilter ref="A1:BO59" xr:uid="{00000000-0009-0000-0000-000001000000}"/>
  <pageMargins left="0.75" right="0.75" top="1" bottom="1" header="0.5" footer="0.5"/>
  <headerFooter>
    <oddHeader>&amp;L&amp;"Aptos"&amp;11&amp;K000000 Internal&amp;1#_x000D_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E346CD603F35744A07FC59D9DE6A157" ma:contentTypeVersion="12" ma:contentTypeDescription="Crear nuevo documento." ma:contentTypeScope="" ma:versionID="55334cd598e34866455d97a4e7d31e51">
  <xsd:schema xmlns:xsd="http://www.w3.org/2001/XMLSchema" xmlns:xs="http://www.w3.org/2001/XMLSchema" xmlns:p="http://schemas.microsoft.com/office/2006/metadata/properties" xmlns:ns2="e921cda0-23d7-487e-81fe-fd3887c9527d" xmlns:ns3="d62b97ae-0538-44ac-ac22-12900a2ae9f0" targetNamespace="http://schemas.microsoft.com/office/2006/metadata/properties" ma:root="true" ma:fieldsID="a9db9e6494246b17278f98cf0c709109" ns2:_="" ns3:_="">
    <xsd:import namespace="e921cda0-23d7-487e-81fe-fd3887c9527d"/>
    <xsd:import namespace="d62b97ae-0538-44ac-ac22-12900a2ae9f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21cda0-23d7-487e-81fe-fd3887c952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b6eb64fc-42c0-4912-87a3-b0ead3e4844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2b97ae-0538-44ac-ac22-12900a2ae9f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c140234-0731-4323-aa1c-7d6bc273d429}" ma:internalName="TaxCatchAll" ma:showField="CatchAllData" ma:web="d62b97ae-0538-44ac-ac22-12900a2ae9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62b97ae-0538-44ac-ac22-12900a2ae9f0" xsi:nil="true"/>
    <lcf76f155ced4ddcb4097134ff3c332f xmlns="e921cda0-23d7-487e-81fe-fd3887c9527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BF64DF8-55BC-41E3-B1D5-0AB3F63EA576}">
  <ds:schemaRefs>
    <ds:schemaRef ds:uri="http://schemas.microsoft.com/sharepoint/v3/contenttype/forms"/>
  </ds:schemaRefs>
</ds:datastoreItem>
</file>

<file path=customXml/itemProps2.xml><?xml version="1.0" encoding="utf-8"?>
<ds:datastoreItem xmlns:ds="http://schemas.openxmlformats.org/officeDocument/2006/customXml" ds:itemID="{165046CB-1CC3-48DF-B428-68C9B98774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21cda0-23d7-487e-81fe-fd3887c9527d"/>
    <ds:schemaRef ds:uri="d62b97ae-0538-44ac-ac22-12900a2ae9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832F65-368D-4EFC-AC01-64A715A2F4E1}">
  <ds:schemaRefs>
    <ds:schemaRef ds:uri="http://schemas.microsoft.com/office/2006/metadata/properties"/>
    <ds:schemaRef ds:uri="http://schemas.microsoft.com/office/infopath/2007/PartnerControls"/>
    <ds:schemaRef ds:uri="d62b97ae-0538-44ac-ac22-12900a2ae9f0"/>
    <ds:schemaRef ds:uri="e921cda0-23d7-487e-81fe-fd3887c9527d"/>
  </ds:schemaRefs>
</ds:datastoreItem>
</file>

<file path=docMetadata/LabelInfo.xml><?xml version="1.0" encoding="utf-8"?>
<clbl:labelList xmlns:clbl="http://schemas.microsoft.com/office/2020/mipLabelMetadata">
  <clbl:label id="{60087d4e-fec9-46db-9123-5b5c8377c8ba}" enabled="1" method="Standard" siteId="{199686b5-bef4-4960-8786-7a6b1888fee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Resumen</vt:lpstr>
      <vt:lpstr>Analisis</vt:lpstr>
      <vt:lpstr>Clasificacion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Alvaro ZEGARRA</cp:lastModifiedBy>
  <dcterms:created xsi:type="dcterms:W3CDTF">2026-09-09T21:38:40Z</dcterms:created>
  <dcterms:modified xsi:type="dcterms:W3CDTF">2026-09-10T16:05:13Z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0x0101007E346CD603F35744A07FC59D9DE6A157</vt:lpwstr>
  </property>
</Properties>
</file>